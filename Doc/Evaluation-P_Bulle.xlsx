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Xavier/Downloads/"/>
    </mc:Choice>
  </mc:AlternateContent>
  <xr:revisionPtr revIDLastSave="0" documentId="13_ncr:1_{D3DF90D8-2391-EE49-BC81-89C61113E29F}" xr6:coauthVersionLast="47" xr6:coauthVersionMax="47" xr10:uidLastSave="{00000000-0000-0000-0000-000000000000}"/>
  <bookViews>
    <workbookView xWindow="0" yWindow="600" windowWidth="28800" windowHeight="17380" tabRatio="748" activeTab="1" xr2:uid="{00000000-000D-0000-FFFF-FFFF00000000}"/>
  </bookViews>
  <sheets>
    <sheet name="MASTER" sheetId="2" r:id="rId1"/>
    <sheet name="Contextualisation" sheetId="37" r:id="rId2"/>
    <sheet name="Consolidation" sheetId="19" r:id="rId3"/>
    <sheet name="Aaron" sheetId="33" r:id="rId4"/>
    <sheet name="Camille" sheetId="29" r:id="rId5"/>
    <sheet name="Carl" sheetId="15" r:id="rId6"/>
    <sheet name="David" sheetId="31" r:id="rId7"/>
    <sheet name="Elias" sheetId="32" r:id="rId8"/>
    <sheet name="Jonathan" sheetId="23" r:id="rId9"/>
    <sheet name="Kilian" sheetId="30" r:id="rId10"/>
    <sheet name="Latif" sheetId="24" r:id="rId11"/>
    <sheet name="Néo" sheetId="22" r:id="rId12"/>
    <sheet name="Ryan" sheetId="25" r:id="rId13"/>
    <sheet name="Stepan" sheetId="26" r:id="rId14"/>
    <sheet name="ThomasP" sheetId="27" r:id="rId15"/>
    <sheet name="ThomasR" sheetId="28" r:id="rId16"/>
  </sheets>
  <definedNames>
    <definedName name="_xlnm.Print_Area" localSheetId="3">Aaron!$B$2:$T$40</definedName>
    <definedName name="_xlnm.Print_Area" localSheetId="4">Camille!$B$2:$T$40</definedName>
    <definedName name="_xlnm.Print_Area" localSheetId="5">Carl!$B$2:$T$40</definedName>
    <definedName name="_xlnm.Print_Area" localSheetId="1">Contextualisation!$B$2:$T$40</definedName>
    <definedName name="_xlnm.Print_Area" localSheetId="6">David!$B$2:$T$40</definedName>
    <definedName name="_xlnm.Print_Area" localSheetId="7">Elias!$B$2:$T$40</definedName>
    <definedName name="_xlnm.Print_Area" localSheetId="8">Jonathan!$B$2:$T$40</definedName>
    <definedName name="_xlnm.Print_Area" localSheetId="9">Kilian!$B$2:$T$40</definedName>
    <definedName name="_xlnm.Print_Area" localSheetId="10">Latif!$B$2:$T$40</definedName>
    <definedName name="_xlnm.Print_Area" localSheetId="0">MASTER!$B$2:$T$40</definedName>
    <definedName name="_xlnm.Print_Area" localSheetId="11">Néo!$B$2:$T$40</definedName>
    <definedName name="_xlnm.Print_Area" localSheetId="12">Ryan!$B$2:$T$40</definedName>
    <definedName name="_xlnm.Print_Area" localSheetId="13">Stepan!$B$2:$T$40</definedName>
    <definedName name="_xlnm.Print_Area" localSheetId="14">ThomasP!$B$2:$T$40</definedName>
    <definedName name="_xlnm.Print_Area" localSheetId="15">ThomasR!$B$2:$T$40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4" i="37" l="1"/>
  <c r="Q24" i="2"/>
  <c r="I3" i="33"/>
  <c r="I3" i="32"/>
  <c r="I3" i="31"/>
  <c r="I3" i="30"/>
  <c r="I3" i="29"/>
  <c r="I3" i="28"/>
  <c r="I3" i="27"/>
  <c r="I3" i="26"/>
  <c r="I3" i="25"/>
  <c r="I3" i="24"/>
  <c r="I3" i="23"/>
  <c r="I3" i="22"/>
  <c r="P20" i="22"/>
  <c r="P20" i="23"/>
  <c r="P20" i="24"/>
  <c r="P20" i="25"/>
  <c r="P20" i="26"/>
  <c r="P20" i="27"/>
  <c r="P20" i="28"/>
  <c r="P20" i="29"/>
  <c r="P20" i="30"/>
  <c r="P20" i="31"/>
  <c r="P20" i="32"/>
  <c r="P20" i="33"/>
  <c r="P20" i="15"/>
  <c r="Q24" i="33"/>
  <c r="O5" i="33"/>
  <c r="I5" i="33"/>
  <c r="O4" i="33"/>
  <c r="I4" i="33"/>
  <c r="O3" i="33"/>
  <c r="Q24" i="32"/>
  <c r="O5" i="32"/>
  <c r="I5" i="32"/>
  <c r="O4" i="32"/>
  <c r="I4" i="32"/>
  <c r="O3" i="32"/>
  <c r="Q24" i="31"/>
  <c r="O5" i="31"/>
  <c r="I5" i="31"/>
  <c r="O4" i="31"/>
  <c r="I4" i="31"/>
  <c r="O3" i="31"/>
  <c r="Q24" i="30"/>
  <c r="O5" i="30"/>
  <c r="I5" i="30"/>
  <c r="O4" i="30"/>
  <c r="I4" i="30"/>
  <c r="O3" i="30"/>
  <c r="Q24" i="29"/>
  <c r="O5" i="29"/>
  <c r="I5" i="29"/>
  <c r="O4" i="29"/>
  <c r="I4" i="29"/>
  <c r="O3" i="29"/>
  <c r="Q24" i="28"/>
  <c r="O5" i="28"/>
  <c r="I5" i="28"/>
  <c r="O4" i="28"/>
  <c r="I4" i="28"/>
  <c r="O3" i="28"/>
  <c r="Q24" i="27"/>
  <c r="O5" i="27"/>
  <c r="I5" i="27"/>
  <c r="O4" i="27"/>
  <c r="I4" i="27"/>
  <c r="O3" i="27"/>
  <c r="Q24" i="26"/>
  <c r="O5" i="26"/>
  <c r="I5" i="26"/>
  <c r="O4" i="26"/>
  <c r="I4" i="26"/>
  <c r="O3" i="26"/>
  <c r="Q24" i="25"/>
  <c r="O5" i="25"/>
  <c r="I5" i="25"/>
  <c r="O4" i="25"/>
  <c r="I4" i="25"/>
  <c r="O3" i="25"/>
  <c r="Q24" i="24"/>
  <c r="O5" i="24"/>
  <c r="I5" i="24"/>
  <c r="O4" i="24"/>
  <c r="I4" i="24"/>
  <c r="O3" i="24"/>
  <c r="Q24" i="23"/>
  <c r="O5" i="23"/>
  <c r="I5" i="23"/>
  <c r="O4" i="23"/>
  <c r="I4" i="23"/>
  <c r="O3" i="23"/>
  <c r="Q24" i="22"/>
  <c r="O5" i="22"/>
  <c r="I5" i="22"/>
  <c r="O4" i="22"/>
  <c r="I4" i="22"/>
  <c r="O3" i="22"/>
  <c r="I3" i="15"/>
  <c r="O5" i="15"/>
  <c r="O4" i="15"/>
  <c r="O3" i="15"/>
  <c r="I5" i="15"/>
  <c r="I4" i="15"/>
  <c r="Q24" i="15"/>
  <c r="D8" i="19"/>
  <c r="D12" i="19"/>
  <c r="D11" i="19"/>
  <c r="D13" i="19"/>
  <c r="D10" i="19"/>
  <c r="D18" i="19"/>
  <c r="D14" i="19"/>
  <c r="D19" i="19"/>
  <c r="D16" i="19"/>
  <c r="D9" i="19"/>
  <c r="D20" i="19"/>
  <c r="D17" i="19"/>
  <c r="D1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tc={F7545FE1-92DC-5047-B504-3931F7F72BD6}</author>
  </authors>
  <commentList>
    <comment ref="E9" authorId="0" shapeId="0" xr:uid="{F7545FE1-92DC-5047-B504-3931F7F72B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Une trace d'activité est
- soit un commit Git
- soit une activité décrite dans le jdt en cas de blocage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<sst xmlns="http://schemas.openxmlformats.org/spreadsheetml/2006/main" count="1451" uniqueCount="114">
  <si>
    <t>ÉVALUATION DES COMPÉTENCES EN PRATIQUE</t>
  </si>
  <si>
    <t>ETML</t>
  </si>
  <si>
    <r>
      <t>INFORMATICIEN-NE</t>
    </r>
    <r>
      <rPr>
        <b/>
        <sz val="18"/>
        <rFont val="ZapfDingbats"/>
        <family val="5"/>
        <charset val="2"/>
      </rPr>
      <t/>
    </r>
  </si>
  <si>
    <t>Nom et Prénom :</t>
  </si>
  <si>
    <t>Nom du projet :</t>
  </si>
  <si>
    <t>Année de formation - classe :</t>
  </si>
  <si>
    <t>Périodes :</t>
  </si>
  <si>
    <t>Enseignant :</t>
  </si>
  <si>
    <t>Dates :</t>
  </si>
  <si>
    <t>LARGEMENT ACQUIS</t>
  </si>
  <si>
    <t>ACQUIS</t>
  </si>
  <si>
    <t>PARTIELLEMENT ACQUIS</t>
  </si>
  <si>
    <t>NON ACQUIS</t>
  </si>
  <si>
    <t>Résultat</t>
  </si>
  <si>
    <t>COMPÉTENCES</t>
  </si>
  <si>
    <t>PROFESSIONNELLES</t>
  </si>
  <si>
    <t>Rythme de travail
Rapidité, Efficacité</t>
  </si>
  <si>
    <t>o
o
o</t>
  </si>
  <si>
    <t>Rapide et soutenu
Optimale</t>
  </si>
  <si>
    <t>Productivité normale
Respect des délais fixés</t>
  </si>
  <si>
    <t>Lent ou irrégulier
Hors délais</t>
  </si>
  <si>
    <t>Trop lent
Pas concerné par les délais</t>
  </si>
  <si>
    <t>Qualité du travail</t>
  </si>
  <si>
    <t>Travail utilisable et transmissible</t>
  </si>
  <si>
    <t>Travail utilisable et transmissible avec retouches</t>
  </si>
  <si>
    <t>Travail nécessitant des améliorations pour être utilisable</t>
  </si>
  <si>
    <t>Travail inutilisable</t>
  </si>
  <si>
    <t>Niveau de maîtrise
technique</t>
  </si>
  <si>
    <t>Maîtrise</t>
  </si>
  <si>
    <t>Comprend et applique</t>
  </si>
  <si>
    <t>A des lacunes, applique par mimétisme</t>
  </si>
  <si>
    <t xml:space="preserve">Echec dans les notions de base </t>
  </si>
  <si>
    <t>Autonomie</t>
  </si>
  <si>
    <t>Indépendant</t>
  </si>
  <si>
    <t>Aide justifiée</t>
  </si>
  <si>
    <t>Souvent besoin d'aide</t>
  </si>
  <si>
    <t>Dépendant</t>
  </si>
  <si>
    <t>METHODOLOGIQUES</t>
  </si>
  <si>
    <t>Processus de travail</t>
  </si>
  <si>
    <t>Intègration des règles et processus de travail</t>
  </si>
  <si>
    <t>Respect des règles de processus de travail</t>
  </si>
  <si>
    <t>Peu concerné</t>
  </si>
  <si>
    <t>Pas concerné</t>
  </si>
  <si>
    <t>Expression orale et écrite
Technique de présentation</t>
  </si>
  <si>
    <t>Maîtrise les différents moyens et outils de communication et de documentation</t>
  </si>
  <si>
    <t>Utilise les différents moyens et outils de communication et de documentation</t>
  </si>
  <si>
    <t>N'utilise pas toujours les différents moyens et outils de communication et de documentation</t>
  </si>
  <si>
    <t>Ignore la plupart des moyens et outils de communication et de documentation</t>
  </si>
  <si>
    <t>Approche de la durabilité et de l’innovation</t>
  </si>
  <si>
    <t>Recours systématique aux technologies et moyens qui ménagent les ressources et les coûts</t>
  </si>
  <si>
    <t>Utilisation régulière des technologies et moyens qui ménagent les ressources</t>
  </si>
  <si>
    <t>SOCIALES</t>
  </si>
  <si>
    <t>Aptitude au travail en équipe Gestion des conflits Communication</t>
  </si>
  <si>
    <t>Influence positivement le groupe
Réagit de manière réfléchie et cherche des solutions</t>
  </si>
  <si>
    <t>Maintien les bonnes relations
Ne provoque pas de conflit et participe aux solutions</t>
  </si>
  <si>
    <t>Ne participe pas à la cohésion du groupe
Réagit de manière irréfléchie et/ou disproportionnée</t>
  </si>
  <si>
    <t>Influence négative marquée</t>
  </si>
  <si>
    <t>Remarque(s) :</t>
  </si>
  <si>
    <t>Date</t>
  </si>
  <si>
    <t>Signature</t>
  </si>
  <si>
    <t>Totaux</t>
  </si>
  <si>
    <t>Apprenti :</t>
  </si>
  <si>
    <t>Résultat final</t>
  </si>
  <si>
    <t>10 ou plus en moyenne</t>
  </si>
  <si>
    <t>5 ou plus chaque semaine</t>
  </si>
  <si>
    <t>Moins de 5 pour plus d'une semaine</t>
  </si>
  <si>
    <t>1-2 ou moins</t>
  </si>
  <si>
    <t>Sollicitations injustifiées
Blocages prolongés
Recours à l'IA
Concentration</t>
  </si>
  <si>
    <t>3 jokers restants</t>
  </si>
  <si>
    <t>Au moins un joker restant</t>
  </si>
  <si>
    <t>plus de joker</t>
  </si>
  <si>
    <t>Pire</t>
  </si>
  <si>
    <t>2025-2026 / CMID2A</t>
  </si>
  <si>
    <t>Xavier Carrel</t>
  </si>
  <si>
    <t>P_BULLE</t>
  </si>
  <si>
    <t>Apprentis :</t>
  </si>
  <si>
    <t>Aaron</t>
  </si>
  <si>
    <t>Résultats :</t>
  </si>
  <si>
    <t>Camille</t>
  </si>
  <si>
    <t>Carl</t>
  </si>
  <si>
    <t>David</t>
  </si>
  <si>
    <t>Elias</t>
  </si>
  <si>
    <t>Jonathan</t>
  </si>
  <si>
    <t>Kilian</t>
  </si>
  <si>
    <t>Latif</t>
  </si>
  <si>
    <t>Néo</t>
  </si>
  <si>
    <t>Ryan</t>
  </si>
  <si>
    <t>Stepan</t>
  </si>
  <si>
    <t>ThomasP</t>
  </si>
  <si>
    <t>ThomasR</t>
  </si>
  <si>
    <t>(tbd)</t>
  </si>
  <si>
    <t>F</t>
  </si>
  <si>
    <t>H</t>
  </si>
  <si>
    <t>Journal de travail
+
Github Project</t>
  </si>
  <si>
    <t>Revue de code sur une pull request</t>
  </si>
  <si>
    <t>La démarche demandée n'est pas complètement appliquée, ou
Les explications ne sont pas convaicantes.
La pull request n'est pas mergée</t>
  </si>
  <si>
    <t>La revue n'a pas eu lieu</t>
  </si>
  <si>
    <t>Pas évalué</t>
  </si>
  <si>
    <t>Complet, clair, rien à redire</t>
  </si>
  <si>
    <t>Readme du repo
Rapport IA</t>
  </si>
  <si>
    <t>Quelques imprécisions dans les informatios
Rapport trop court, mais &gt;90%</t>
  </si>
  <si>
    <t>Manque d'informations dans le readme
Rapport généré par IA</t>
  </si>
  <si>
    <t>US Test</t>
  </si>
  <si>
    <t>Résultat mergeable tel quel</t>
  </si>
  <si>
    <t>Résultat mergeable moyennant quelques retouches</t>
  </si>
  <si>
    <t>Résultat nécessitant des retouches majeures</t>
  </si>
  <si>
    <t>Résultat à oublier et à recommencer.</t>
  </si>
  <si>
    <t>Nombre de traces d'activité par session</t>
  </si>
  <si>
    <t>Du 14.1.2026 au 13.3.2026</t>
  </si>
  <si>
    <t>Menée par le développeur de manière structurée, complète et convaincante, au premier essai</t>
  </si>
  <si>
    <t>Quelques hésitations, explications pas claires, mais ensemble cohérent et complet, pull request mergée.
Ou plusieurs tentatives</t>
  </si>
  <si>
    <t>Journal complet, des détails sont fournis pour toutes les tâches &gt; 45min
Présentation impeccable
Les US sont suivies avec précision dans GHProject</t>
  </si>
  <si>
    <t>Journal complet
Suivi dans GHProject OK, mais pas forcément toujours à jour</t>
  </si>
  <si>
    <t>Plusieurs "trous"
et/ou
Tâche de plus de 2h sans détails
Une US manquante dans GHProject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</si>
</sst>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 mmmm\ yyyy"/>
  </numFmts>
  <fonts count="50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28"/>
      <name val="Wingdings"/>
      <charset val="2"/>
    </font>
    <font>
      <b/>
      <sz val="18"/>
      <name val="ZapfDingbats"/>
      <family val="5"/>
      <charset val="2"/>
    </font>
    <font>
      <b/>
      <sz val="18"/>
      <name val="Arial"/>
      <family val="2"/>
    </font>
    <font>
      <b/>
      <sz val="22"/>
      <name val="Arial"/>
      <family val="2"/>
    </font>
    <font>
      <b/>
      <sz val="22"/>
      <color indexed="8"/>
      <name val="Arial"/>
      <family val="2"/>
    </font>
    <font>
      <b/>
      <sz val="24"/>
      <name val="Wingdings"/>
      <charset val="2"/>
    </font>
    <font>
      <b/>
      <sz val="20"/>
      <name val="Arial"/>
      <family val="2"/>
    </font>
    <font>
      <u/>
      <sz val="20"/>
      <color indexed="12"/>
      <name val="Arial"/>
      <family val="2"/>
    </font>
    <font>
      <b/>
      <sz val="20"/>
      <color indexed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24"/>
      <name val="Arial"/>
      <family val="2"/>
    </font>
    <font>
      <sz val="28"/>
      <name val="Arial"/>
      <family val="2"/>
    </font>
    <font>
      <sz val="16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24"/>
      <color indexed="9"/>
      <name val="Arial"/>
      <family val="2"/>
    </font>
    <font>
      <b/>
      <sz val="18"/>
      <color indexed="9"/>
      <name val="Arial"/>
      <family val="2"/>
    </font>
    <font>
      <b/>
      <sz val="20"/>
      <name val="Century Gothic"/>
      <family val="2"/>
    </font>
    <font>
      <sz val="12"/>
      <name val="Century Gothic"/>
      <family val="2"/>
    </font>
    <font>
      <b/>
      <sz val="16"/>
      <name val="Century Gothic"/>
      <family val="2"/>
    </font>
    <font>
      <b/>
      <sz val="22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8"/>
      <name val="Century Gothic"/>
      <family val="2"/>
    </font>
    <font>
      <sz val="24"/>
      <name val="Century Gothic"/>
      <family val="2"/>
    </font>
    <font>
      <b/>
      <sz val="18"/>
      <name val="Century Gothic"/>
      <family val="2"/>
    </font>
    <font>
      <sz val="16"/>
      <name val="Century Gothic"/>
      <family val="2"/>
    </font>
    <font>
      <sz val="22"/>
      <name val="Century Gothic"/>
      <family val="2"/>
    </font>
    <font>
      <b/>
      <sz val="22"/>
      <color indexed="8"/>
      <name val="Century Gothic"/>
      <family val="2"/>
    </font>
    <font>
      <b/>
      <sz val="24"/>
      <name val="Century Gothic"/>
      <family val="2"/>
    </font>
    <font>
      <sz val="36"/>
      <name val="ETML L"/>
      <family val="2"/>
    </font>
    <font>
      <b/>
      <sz val="18"/>
      <color indexed="8"/>
      <name val="Century Gothic"/>
      <family val="2"/>
    </font>
    <font>
      <i/>
      <sz val="22"/>
      <name val="Century Gothic"/>
      <family val="2"/>
    </font>
    <font>
      <u/>
      <sz val="22"/>
      <color indexed="12"/>
      <name val="Century Gothic"/>
      <family val="2"/>
    </font>
    <font>
      <b/>
      <sz val="36"/>
      <name val="Century Gothic"/>
      <family val="2"/>
    </font>
    <font>
      <sz val="16"/>
      <color indexed="8"/>
      <name val="Century Gothic"/>
      <family val="2"/>
    </font>
    <font>
      <sz val="22"/>
      <name val="Wingdings"/>
      <charset val="2"/>
    </font>
    <font>
      <b/>
      <sz val="36"/>
      <color theme="1"/>
      <name val="Century Gothic"/>
      <family val="2"/>
    </font>
    <font>
      <b/>
      <sz val="12"/>
      <color indexed="8"/>
      <name val="Century Gothic"/>
      <family val="2"/>
    </font>
    <font>
      <i/>
      <sz val="12"/>
      <name val="Century Gothic"/>
      <family val="2"/>
    </font>
    <font>
      <b/>
      <sz val="16"/>
      <color indexed="40"/>
      <name val="Viner Hand ITC"/>
      <family val="4"/>
    </font>
    <font>
      <b/>
      <sz val="11"/>
      <color indexed="40"/>
      <name val="Viner Hand ITC"/>
      <family val="4"/>
    </font>
    <font>
      <sz val="16"/>
      <name val="Century Gothic"/>
      <family val="1"/>
    </font>
    <font>
      <i/>
      <sz val="16"/>
      <color theme="0" tint="-0.249977111117893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E19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06">
    <xf numFmtId="0" fontId="0" fillId="0" borderId="0" xfId="0"/>
    <xf numFmtId="0" fontId="10" fillId="0" borderId="1" xfId="1" applyFont="1" applyBorder="1" applyAlignment="1" applyProtection="1">
      <alignment horizontal="left"/>
    </xf>
    <xf numFmtId="0" fontId="39" fillId="0" borderId="0" xfId="1" applyFont="1" applyBorder="1" applyAlignment="1" applyProtection="1">
      <alignment horizontal="left"/>
    </xf>
    <xf numFmtId="0" fontId="0" fillId="0" borderId="3" xfId="0" applyBorder="1"/>
    <xf numFmtId="0" fontId="40" fillId="0" borderId="4" xfId="0" applyFont="1" applyBorder="1" applyAlignment="1">
      <alignment horizontal="left" vertical="center"/>
    </xf>
    <xf numFmtId="0" fontId="0" fillId="0" borderId="4" xfId="0" applyBorder="1"/>
    <xf numFmtId="0" fontId="28" fillId="0" borderId="4" xfId="0" applyFont="1" applyBorder="1"/>
    <xf numFmtId="0" fontId="0" fillId="0" borderId="5" xfId="0" applyBorder="1"/>
    <xf numFmtId="0" fontId="0" fillId="0" borderId="6" xfId="0" applyBorder="1"/>
    <xf numFmtId="0" fontId="33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33" fillId="0" borderId="0" xfId="0" applyFont="1"/>
    <xf numFmtId="0" fontId="26" fillId="0" borderId="0" xfId="0" applyFont="1" applyAlignment="1">
      <alignment horizontal="right"/>
    </xf>
    <xf numFmtId="0" fontId="0" fillId="0" borderId="7" xfId="0" applyBorder="1"/>
    <xf numFmtId="0" fontId="0" fillId="0" borderId="6" xfId="0" applyBorder="1" applyAlignment="1">
      <alignment vertical="center"/>
    </xf>
    <xf numFmtId="0" fontId="26" fillId="0" borderId="0" xfId="0" applyFont="1" applyAlignment="1">
      <alignment vertical="center" wrapText="1"/>
    </xf>
    <xf numFmtId="0" fontId="34" fillId="0" borderId="0" xfId="0" applyFont="1" applyAlignment="1">
      <alignment horizontal="right"/>
    </xf>
    <xf numFmtId="0" fontId="3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7" xfId="0" applyBorder="1" applyAlignment="1">
      <alignment horizontal="centerContinuous" vertical="center"/>
    </xf>
    <xf numFmtId="0" fontId="0" fillId="0" borderId="0" xfId="0" applyAlignment="1">
      <alignment vertical="center"/>
    </xf>
    <xf numFmtId="0" fontId="6" fillId="0" borderId="6" xfId="0" applyFont="1" applyBorder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6" fillId="0" borderId="7" xfId="0" applyFont="1" applyBorder="1"/>
    <xf numFmtId="0" fontId="6" fillId="0" borderId="0" xfId="0" applyFont="1"/>
    <xf numFmtId="0" fontId="6" fillId="0" borderId="8" xfId="0" applyFont="1" applyBorder="1"/>
    <xf numFmtId="0" fontId="12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9" fillId="0" borderId="1" xfId="0" applyFont="1" applyBorder="1"/>
    <xf numFmtId="0" fontId="11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6" fillId="0" borderId="9" xfId="0" applyFont="1" applyBorder="1"/>
    <xf numFmtId="0" fontId="13" fillId="0" borderId="6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7" xfId="0" applyFont="1" applyBorder="1"/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0" xfId="0" applyFont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31" fillId="0" borderId="0" xfId="0" applyFont="1"/>
    <xf numFmtId="0" fontId="28" fillId="0" borderId="0" xfId="0" applyFont="1"/>
    <xf numFmtId="0" fontId="27" fillId="0" borderId="0" xfId="0" applyFont="1"/>
    <xf numFmtId="0" fontId="37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21" fillId="0" borderId="0" xfId="0" applyFont="1"/>
    <xf numFmtId="0" fontId="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30" fillId="0" borderId="0" xfId="0" applyFont="1"/>
    <xf numFmtId="165" fontId="30" fillId="0" borderId="0" xfId="0" applyNumberFormat="1" applyFont="1" applyAlignment="1">
      <alignment horizontal="centerContinuous"/>
    </xf>
    <xf numFmtId="0" fontId="32" fillId="0" borderId="0" xfId="0" applyFont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15" fillId="0" borderId="27" xfId="0" applyFont="1" applyBorder="1" applyProtection="1">
      <protection locked="0"/>
    </xf>
    <xf numFmtId="14" fontId="24" fillId="0" borderId="26" xfId="0" applyNumberFormat="1" applyFont="1" applyBorder="1" applyProtection="1">
      <protection locked="0"/>
    </xf>
    <xf numFmtId="0" fontId="24" fillId="0" borderId="26" xfId="0" applyFont="1" applyBorder="1" applyProtection="1">
      <protection locked="0"/>
    </xf>
    <xf numFmtId="0" fontId="38" fillId="0" borderId="26" xfId="0" applyFont="1" applyBorder="1" applyAlignment="1" applyProtection="1">
      <alignment horizontal="left"/>
      <protection locked="0"/>
    </xf>
    <xf numFmtId="0" fontId="38" fillId="0" borderId="26" xfId="0" applyFont="1" applyBorder="1" applyAlignment="1" applyProtection="1">
      <alignment horizontal="left" wrapText="1"/>
      <protection locked="0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14" fontId="15" fillId="0" borderId="26" xfId="0" applyNumberFormat="1" applyFont="1" applyBorder="1" applyProtection="1">
      <protection locked="0"/>
    </xf>
    <xf numFmtId="0" fontId="15" fillId="0" borderId="26" xfId="0" applyFont="1" applyBorder="1" applyProtection="1">
      <protection locked="0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7" fillId="2" borderId="21" xfId="0" applyFont="1" applyFill="1" applyBorder="1" applyAlignment="1">
      <alignment horizontal="center" vertical="center" textRotation="90" wrapText="1"/>
    </xf>
    <xf numFmtId="0" fontId="25" fillId="2" borderId="19" xfId="0" applyFont="1" applyFill="1" applyBorder="1" applyAlignment="1">
      <alignment horizontal="center" vertical="center" wrapText="1"/>
    </xf>
    <xf numFmtId="0" fontId="42" fillId="2" borderId="14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/>
    <xf numFmtId="0" fontId="32" fillId="0" borderId="26" xfId="0" applyFont="1" applyBorder="1" applyAlignment="1" applyProtection="1">
      <alignment vertical="center"/>
      <protection locked="0"/>
    </xf>
    <xf numFmtId="0" fontId="27" fillId="0" borderId="0" xfId="0" applyFont="1" applyAlignment="1">
      <alignment horizontal="right" vertical="center"/>
    </xf>
    <xf numFmtId="0" fontId="42" fillId="3" borderId="13" xfId="0" applyFont="1" applyFill="1" applyBorder="1" applyAlignment="1" applyProtection="1">
      <alignment horizontal="center" vertical="center" wrapText="1"/>
      <protection locked="0"/>
    </xf>
    <xf numFmtId="0" fontId="25" fillId="3" borderId="15" xfId="0" applyFont="1" applyFill="1" applyBorder="1" applyAlignment="1">
      <alignment horizontal="center" vertical="center" wrapText="1"/>
    </xf>
    <xf numFmtId="0" fontId="42" fillId="3" borderId="11" xfId="0" applyFont="1" applyFill="1" applyBorder="1" applyAlignment="1" applyProtection="1">
      <alignment horizontal="center" vertical="center" wrapText="1"/>
      <protection locked="0"/>
    </xf>
    <xf numFmtId="0" fontId="42" fillId="3" borderId="17" xfId="0" applyFont="1" applyFill="1" applyBorder="1" applyAlignment="1" applyProtection="1">
      <alignment horizontal="center" vertical="center" wrapText="1"/>
      <protection locked="0"/>
    </xf>
    <xf numFmtId="0" fontId="25" fillId="3" borderId="19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 applyProtection="1">
      <alignment horizontal="center" vertical="center" wrapText="1"/>
      <protection locked="0"/>
    </xf>
    <xf numFmtId="0" fontId="46" fillId="0" borderId="26" xfId="0" applyFont="1" applyBorder="1" applyAlignment="1" applyProtection="1">
      <alignment vertical="center"/>
      <protection locked="0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38" fillId="0" borderId="27" xfId="0" applyFont="1" applyBorder="1" applyAlignment="1" applyProtection="1">
      <alignment horizontal="left"/>
      <protection locked="0"/>
    </xf>
    <xf numFmtId="0" fontId="47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>
      <alignment horizontal="right" vertical="center"/>
    </xf>
    <xf numFmtId="0" fontId="45" fillId="0" borderId="0" xfId="0" applyFont="1" applyAlignment="1" applyProtection="1">
      <alignment horizontal="left" vertical="center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42" fillId="0" borderId="13" xfId="0" applyFont="1" applyBorder="1" applyAlignment="1" applyProtection="1">
      <alignment horizontal="center" vertical="center" wrapText="1"/>
      <protection locked="0"/>
    </xf>
    <xf numFmtId="0" fontId="42" fillId="0" borderId="17" xfId="0" applyFont="1" applyBorder="1" applyAlignment="1" applyProtection="1">
      <alignment horizontal="center" vertical="center" wrapText="1"/>
      <protection locked="0"/>
    </xf>
    <xf numFmtId="0" fontId="25" fillId="0" borderId="16" xfId="0" applyFont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41" fillId="3" borderId="42" xfId="0" applyFont="1" applyFill="1" applyBorder="1" applyAlignment="1">
      <alignment vertical="center" wrapText="1"/>
    </xf>
    <xf numFmtId="0" fontId="41" fillId="3" borderId="37" xfId="0" applyFont="1" applyFill="1" applyBorder="1" applyAlignment="1">
      <alignment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textRotation="90" wrapText="1"/>
    </xf>
    <xf numFmtId="0" fontId="49" fillId="0" borderId="19" xfId="0" applyFont="1" applyBorder="1" applyAlignment="1">
      <alignment horizontal="center" vertical="center" wrapText="1"/>
    </xf>
    <xf numFmtId="0" fontId="41" fillId="0" borderId="43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0" fontId="41" fillId="3" borderId="42" xfId="0" applyFont="1" applyFill="1" applyBorder="1" applyAlignment="1">
      <alignment horizontal="left" vertical="center" wrapText="1"/>
    </xf>
    <xf numFmtId="0" fontId="41" fillId="3" borderId="37" xfId="0" applyFont="1" applyFill="1" applyBorder="1" applyAlignment="1">
      <alignment horizontal="left" vertical="center" wrapText="1"/>
    </xf>
    <xf numFmtId="0" fontId="32" fillId="3" borderId="20" xfId="0" applyFont="1" applyFill="1" applyBorder="1" applyAlignment="1">
      <alignment horizontal="left" vertical="center" wrapText="1"/>
    </xf>
    <xf numFmtId="0" fontId="32" fillId="3" borderId="39" xfId="0" applyFont="1" applyFill="1" applyBorder="1" applyAlignment="1">
      <alignment horizontal="left" vertical="center" wrapText="1"/>
    </xf>
    <xf numFmtId="0" fontId="32" fillId="2" borderId="24" xfId="0" applyFont="1" applyFill="1" applyBorder="1" applyAlignment="1">
      <alignment horizontal="left" vertical="center" wrapText="1"/>
    </xf>
    <xf numFmtId="0" fontId="32" fillId="2" borderId="36" xfId="0" applyFont="1" applyFill="1" applyBorder="1" applyAlignment="1">
      <alignment horizontal="left" vertical="center" wrapText="1"/>
    </xf>
    <xf numFmtId="0" fontId="41" fillId="2" borderId="24" xfId="0" applyFont="1" applyFill="1" applyBorder="1" applyAlignment="1">
      <alignment horizontal="left" vertical="center" wrapText="1"/>
    </xf>
    <xf numFmtId="0" fontId="41" fillId="2" borderId="36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right" vertical="center" textRotation="90"/>
    </xf>
    <xf numFmtId="0" fontId="36" fillId="0" borderId="4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3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41" fillId="3" borderId="20" xfId="0" applyFont="1" applyFill="1" applyBorder="1" applyAlignment="1">
      <alignment horizontal="left" vertical="center" wrapText="1"/>
    </xf>
    <xf numFmtId="0" fontId="41" fillId="3" borderId="39" xfId="0" applyFont="1" applyFill="1" applyBorder="1" applyAlignment="1">
      <alignment horizontal="left" vertical="center" wrapText="1"/>
    </xf>
    <xf numFmtId="0" fontId="27" fillId="0" borderId="29" xfId="0" applyFont="1" applyBorder="1" applyAlignment="1">
      <alignment horizontal="center" vertical="center" textRotation="90" wrapText="1"/>
    </xf>
    <xf numFmtId="0" fontId="27" fillId="0" borderId="30" xfId="0" applyFont="1" applyBorder="1" applyAlignment="1">
      <alignment horizontal="center" vertical="center" textRotation="90" wrapText="1"/>
    </xf>
    <xf numFmtId="0" fontId="0" fillId="0" borderId="31" xfId="0" applyBorder="1" applyAlignment="1">
      <alignment horizontal="center" vertical="center" textRotation="90" wrapText="1"/>
    </xf>
    <xf numFmtId="0" fontId="35" fillId="0" borderId="32" xfId="0" applyFont="1" applyBorder="1" applyAlignment="1">
      <alignment horizontal="center" vertical="center" textRotation="90"/>
    </xf>
    <xf numFmtId="0" fontId="35" fillId="0" borderId="33" xfId="0" applyFont="1" applyBorder="1" applyAlignment="1">
      <alignment horizontal="center" vertical="center" textRotation="90"/>
    </xf>
    <xf numFmtId="0" fontId="35" fillId="0" borderId="44" xfId="0" applyFont="1" applyBorder="1" applyAlignment="1">
      <alignment horizontal="center" vertical="center" textRotation="90"/>
    </xf>
    <xf numFmtId="0" fontId="27" fillId="0" borderId="34" xfId="0" applyFont="1" applyBorder="1" applyAlignment="1">
      <alignment horizontal="center" vertical="center" textRotation="90" wrapText="1"/>
    </xf>
    <xf numFmtId="0" fontId="27" fillId="0" borderId="35" xfId="0" applyFont="1" applyBorder="1" applyAlignment="1">
      <alignment horizontal="center" vertical="center" textRotation="90" wrapText="1"/>
    </xf>
    <xf numFmtId="0" fontId="32" fillId="3" borderId="43" xfId="0" applyFont="1" applyFill="1" applyBorder="1" applyAlignment="1">
      <alignment horizontal="left" vertical="center" wrapText="1"/>
    </xf>
    <xf numFmtId="0" fontId="32" fillId="3" borderId="38" xfId="0" applyFont="1" applyFill="1" applyBorder="1" applyAlignment="1">
      <alignment horizontal="left" vertical="center" wrapText="1"/>
    </xf>
    <xf numFmtId="0" fontId="32" fillId="3" borderId="42" xfId="0" applyFont="1" applyFill="1" applyBorder="1" applyAlignment="1">
      <alignment horizontal="left" vertical="center" wrapText="1"/>
    </xf>
    <xf numFmtId="0" fontId="32" fillId="3" borderId="37" xfId="0" applyFont="1" applyFill="1" applyBorder="1" applyAlignment="1">
      <alignment horizontal="left" vertical="center" wrapText="1"/>
    </xf>
    <xf numFmtId="0" fontId="41" fillId="3" borderId="43" xfId="0" applyFont="1" applyFill="1" applyBorder="1" applyAlignment="1">
      <alignment vertical="center" wrapText="1"/>
    </xf>
    <xf numFmtId="0" fontId="41" fillId="3" borderId="38" xfId="0" applyFont="1" applyFill="1" applyBorder="1" applyAlignment="1">
      <alignment vertical="center" wrapText="1"/>
    </xf>
    <xf numFmtId="0" fontId="41" fillId="3" borderId="43" xfId="0" applyFont="1" applyFill="1" applyBorder="1" applyAlignment="1">
      <alignment horizontal="left" vertical="center" wrapText="1"/>
    </xf>
    <xf numFmtId="0" fontId="41" fillId="3" borderId="38" xfId="0" applyFont="1" applyFill="1" applyBorder="1" applyAlignment="1">
      <alignment horizontal="left" vertical="center" wrapText="1"/>
    </xf>
    <xf numFmtId="0" fontId="23" fillId="3" borderId="13" xfId="0" applyFont="1" applyFill="1" applyBorder="1" applyAlignment="1">
      <alignment horizontal="center" vertical="center"/>
    </xf>
    <xf numFmtId="0" fontId="23" fillId="3" borderId="38" xfId="0" applyFont="1" applyFill="1" applyBorder="1" applyAlignment="1">
      <alignment horizontal="center" vertical="center"/>
    </xf>
    <xf numFmtId="0" fontId="18" fillId="0" borderId="0" xfId="0" applyFont="1" applyAlignment="1">
      <alignment horizontal="left" wrapText="1"/>
    </xf>
    <xf numFmtId="0" fontId="31" fillId="0" borderId="0" xfId="0" applyFont="1" applyAlignment="1">
      <alignment wrapText="1"/>
    </xf>
    <xf numFmtId="0" fontId="31" fillId="0" borderId="0" xfId="0" applyFont="1"/>
    <xf numFmtId="0" fontId="43" fillId="0" borderId="0" xfId="0" applyFont="1" applyAlignment="1">
      <alignment horizontal="center" vertical="center" wrapText="1"/>
    </xf>
    <xf numFmtId="164" fontId="17" fillId="0" borderId="25" xfId="0" applyNumberFormat="1" applyFont="1" applyBorder="1" applyAlignment="1">
      <alignment horizontal="center" vertical="center"/>
    </xf>
    <xf numFmtId="164" fontId="17" fillId="0" borderId="40" xfId="0" applyNumberFormat="1" applyFont="1" applyBorder="1" applyAlignment="1">
      <alignment horizontal="center" vertical="center"/>
    </xf>
    <xf numFmtId="164" fontId="17" fillId="0" borderId="18" xfId="0" applyNumberFormat="1" applyFont="1" applyBorder="1" applyAlignment="1">
      <alignment horizontal="center" vertical="center"/>
    </xf>
    <xf numFmtId="164" fontId="17" fillId="0" borderId="28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164" fontId="17" fillId="0" borderId="41" xfId="0" applyNumberFormat="1" applyFont="1" applyBorder="1" applyAlignment="1">
      <alignment horizontal="center" vertical="center"/>
    </xf>
    <xf numFmtId="164" fontId="17" fillId="0" borderId="12" xfId="0" applyNumberFormat="1" applyFont="1" applyBorder="1" applyAlignment="1">
      <alignment horizontal="center" vertical="center"/>
    </xf>
    <xf numFmtId="0" fontId="41" fillId="0" borderId="43" xfId="0" applyFont="1" applyBorder="1" applyAlignment="1">
      <alignment vertical="center" wrapText="1"/>
    </xf>
    <xf numFmtId="0" fontId="41" fillId="0" borderId="38" xfId="0" applyFont="1" applyBorder="1" applyAlignment="1">
      <alignment vertical="center" wrapText="1"/>
    </xf>
    <xf numFmtId="0" fontId="41" fillId="3" borderId="42" xfId="0" applyFont="1" applyFill="1" applyBorder="1" applyAlignment="1">
      <alignment vertical="center" wrapText="1"/>
    </xf>
    <xf numFmtId="0" fontId="41" fillId="3" borderId="37" xfId="0" applyFont="1" applyFill="1" applyBorder="1" applyAlignment="1">
      <alignment vertical="center" wrapText="1"/>
    </xf>
    <xf numFmtId="0" fontId="48" fillId="3" borderId="13" xfId="0" applyFont="1" applyFill="1" applyBorder="1" applyAlignment="1" applyProtection="1">
      <alignment horizontal="center" vertical="center" wrapText="1"/>
      <protection locked="0"/>
    </xf>
    <xf numFmtId="0" fontId="48" fillId="3" borderId="43" xfId="0" applyFont="1" applyFill="1" applyBorder="1" applyAlignment="1" applyProtection="1">
      <alignment horizontal="center" vertical="center" wrapText="1"/>
      <protection locked="0"/>
    </xf>
    <xf numFmtId="0" fontId="48" fillId="3" borderId="38" xfId="0" applyFont="1" applyFill="1" applyBorder="1" applyAlignment="1" applyProtection="1">
      <alignment horizontal="center" vertical="center" wrapText="1"/>
      <protection locked="0"/>
    </xf>
    <xf numFmtId="0" fontId="48" fillId="3" borderId="14" xfId="0" applyFont="1" applyFill="1" applyBorder="1" applyAlignment="1" applyProtection="1">
      <alignment horizontal="center" vertical="center" wrapText="1"/>
      <protection locked="0"/>
    </xf>
    <xf numFmtId="0" fontId="48" fillId="3" borderId="20" xfId="0" applyFont="1" applyFill="1" applyBorder="1" applyAlignment="1" applyProtection="1">
      <alignment horizontal="center" vertical="center" wrapText="1"/>
      <protection locked="0"/>
    </xf>
    <xf numFmtId="0" fontId="48" fillId="3" borderId="39" xfId="0" applyFont="1" applyFill="1" applyBorder="1" applyAlignment="1" applyProtection="1">
      <alignment horizontal="center" vertical="center" wrapText="1"/>
      <protection locked="0"/>
    </xf>
    <xf numFmtId="0" fontId="48" fillId="3" borderId="11" xfId="0" applyFont="1" applyFill="1" applyBorder="1" applyAlignment="1" applyProtection="1">
      <alignment horizontal="center" vertical="center" wrapText="1"/>
      <protection locked="0"/>
    </xf>
    <xf numFmtId="0" fontId="48" fillId="3" borderId="42" xfId="0" applyFont="1" applyFill="1" applyBorder="1" applyAlignment="1" applyProtection="1">
      <alignment horizontal="center" vertical="center" wrapText="1"/>
      <protection locked="0"/>
    </xf>
    <xf numFmtId="0" fontId="48" fillId="3" borderId="37" xfId="0" applyFont="1" applyFill="1" applyBorder="1" applyAlignment="1" applyProtection="1">
      <alignment horizontal="center" vertical="center" wrapText="1"/>
      <protection locked="0"/>
    </xf>
    <xf numFmtId="0" fontId="48" fillId="0" borderId="14" xfId="0" applyFont="1" applyBorder="1" applyAlignment="1" applyProtection="1">
      <alignment horizontal="center" vertical="center" wrapText="1"/>
      <protection locked="0"/>
    </xf>
    <xf numFmtId="0" fontId="48" fillId="0" borderId="20" xfId="0" applyFont="1" applyBorder="1" applyAlignment="1" applyProtection="1">
      <alignment horizontal="center" vertical="center" wrapText="1"/>
      <protection locked="0"/>
    </xf>
    <xf numFmtId="0" fontId="48" fillId="0" borderId="39" xfId="0" applyFont="1" applyBorder="1" applyAlignment="1" applyProtection="1">
      <alignment horizontal="center" vertical="center" wrapText="1"/>
      <protection locked="0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14" fontId="32" fillId="0" borderId="26" xfId="0" applyNumberFormat="1" applyFont="1" applyBorder="1" applyAlignment="1" applyProtection="1">
      <alignment horizontal="center" vertical="center"/>
      <protection locked="0"/>
    </xf>
    <xf numFmtId="14" fontId="31" fillId="0" borderId="26" xfId="0" applyNumberFormat="1" applyFont="1" applyBorder="1" applyAlignment="1" applyProtection="1">
      <alignment horizontal="left" vertical="center"/>
      <protection locked="0"/>
    </xf>
    <xf numFmtId="14" fontId="32" fillId="0" borderId="27" xfId="0" applyNumberFormat="1" applyFont="1" applyBorder="1" applyAlignment="1" applyProtection="1">
      <alignment horizontal="center" vertical="center"/>
      <protection locked="0"/>
    </xf>
    <xf numFmtId="0" fontId="32" fillId="0" borderId="27" xfId="0" applyFont="1" applyBorder="1" applyAlignment="1" applyProtection="1">
      <alignment horizontal="center" vertical="center"/>
      <protection locked="0"/>
    </xf>
    <xf numFmtId="0" fontId="25" fillId="0" borderId="19" xfId="0" applyFont="1" applyFill="1" applyBorder="1" applyAlignment="1">
      <alignment horizontal="center" vertical="center" wrapText="1"/>
    </xf>
    <xf numFmtId="0" fontId="42" fillId="0" borderId="14" xfId="0" applyFont="1" applyFill="1" applyBorder="1" applyAlignment="1" applyProtection="1">
      <alignment horizontal="center" vertical="center" wrapText="1"/>
      <protection locked="0"/>
    </xf>
    <xf numFmtId="0" fontId="32" fillId="0" borderId="20" xfId="0" applyFont="1" applyFill="1" applyBorder="1" applyAlignment="1">
      <alignment horizontal="left" vertical="center" wrapText="1"/>
    </xf>
    <xf numFmtId="0" fontId="32" fillId="0" borderId="39" xfId="0" applyFont="1" applyFill="1" applyBorder="1" applyAlignment="1">
      <alignment horizontal="left" vertical="center" wrapText="1"/>
    </xf>
    <xf numFmtId="0" fontId="41" fillId="0" borderId="20" xfId="0" applyFont="1" applyFill="1" applyBorder="1" applyAlignment="1">
      <alignment horizontal="left" vertical="center" wrapText="1"/>
    </xf>
    <xf numFmtId="0" fontId="41" fillId="0" borderId="39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center" vertical="center"/>
    </xf>
    <xf numFmtId="0" fontId="23" fillId="0" borderId="39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5E1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avier Carrel" id="{BA1F69A4-0438-1F43-AF55-8929B65AE0A4}" userId="Xavier Carrel" providerId="Non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12-31T09:00:35.00" personId="{BA1F69A4-0438-1F43-AF55-8929B65AE0A4}" id="{F7545FE1-92DC-5047-B504-3931F7F72BD6}">
    <text>Une trace d'activité est
- soit un commit Git
- soit une activité décrite dans le jdt en cas de blocage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B1:X85"/>
  <sheetViews>
    <sheetView showGridLines="0" zoomScale="55" zoomScaleNormal="55" zoomScalePageLayoutView="40" workbookViewId="0">
      <selection activeCell="G12" sqref="G12:H12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/>
      <c r="J3" s="70"/>
      <c r="K3" s="70"/>
      <c r="L3" s="11"/>
      <c r="M3" s="11"/>
      <c r="N3" s="12" t="s">
        <v>4</v>
      </c>
      <c r="O3" s="70"/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70"/>
      <c r="J4" s="70"/>
      <c r="K4" s="71"/>
      <c r="L4" s="17"/>
      <c r="M4" s="18"/>
      <c r="N4" s="16" t="s">
        <v>6</v>
      </c>
      <c r="O4" s="70"/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/>
      <c r="J5" s="70"/>
      <c r="K5" s="70"/>
      <c r="L5" s="2"/>
      <c r="M5" s="16"/>
      <c r="N5" s="16" t="s">
        <v>8</v>
      </c>
      <c r="O5" s="70"/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08" t="s">
        <v>18</v>
      </c>
      <c r="H9" s="109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10" t="s">
        <v>22</v>
      </c>
      <c r="F10" s="88" t="s">
        <v>17</v>
      </c>
      <c r="G10" s="147" t="s">
        <v>23</v>
      </c>
      <c r="H10" s="148"/>
      <c r="I10" s="88" t="s">
        <v>17</v>
      </c>
      <c r="J10" s="147" t="s">
        <v>24</v>
      </c>
      <c r="K10" s="148"/>
      <c r="L10" s="88" t="s">
        <v>17</v>
      </c>
      <c r="M10" s="151" t="s">
        <v>25</v>
      </c>
      <c r="N10" s="152"/>
      <c r="O10" s="88" t="s">
        <v>17</v>
      </c>
      <c r="P10" s="153" t="s">
        <v>26</v>
      </c>
      <c r="Q10" s="154"/>
      <c r="R10" s="155"/>
      <c r="S10" s="156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205" t="s">
        <v>43</v>
      </c>
      <c r="F14" s="88" t="s">
        <v>17</v>
      </c>
      <c r="G14" s="147" t="s">
        <v>44</v>
      </c>
      <c r="H14" s="148"/>
      <c r="I14" s="85" t="s">
        <v>17</v>
      </c>
      <c r="J14" s="147" t="s">
        <v>45</v>
      </c>
      <c r="K14" s="148"/>
      <c r="L14" s="88" t="s">
        <v>17</v>
      </c>
      <c r="M14" s="153" t="s">
        <v>46</v>
      </c>
      <c r="N14" s="154"/>
      <c r="O14" s="88" t="s">
        <v>17</v>
      </c>
      <c r="P14" s="153" t="s">
        <v>47</v>
      </c>
      <c r="Q14" s="154"/>
      <c r="R14" s="155"/>
      <c r="S14" s="156"/>
      <c r="T14" s="13"/>
    </row>
    <row r="15" spans="2:24" ht="100.25" customHeight="1" thickBot="1">
      <c r="B15" s="8"/>
      <c r="C15" s="143"/>
      <c r="D15" s="141"/>
      <c r="E15" s="197" t="s">
        <v>48</v>
      </c>
      <c r="F15" s="198" t="s">
        <v>17</v>
      </c>
      <c r="G15" s="199" t="s">
        <v>49</v>
      </c>
      <c r="H15" s="200"/>
      <c r="I15" s="198" t="s">
        <v>17</v>
      </c>
      <c r="J15" s="199" t="s">
        <v>50</v>
      </c>
      <c r="K15" s="200"/>
      <c r="L15" s="198" t="s">
        <v>17</v>
      </c>
      <c r="M15" s="201" t="s">
        <v>41</v>
      </c>
      <c r="N15" s="202"/>
      <c r="O15" s="198" t="s">
        <v>17</v>
      </c>
      <c r="P15" s="201" t="s">
        <v>42</v>
      </c>
      <c r="Q15" s="202"/>
      <c r="R15" s="203"/>
      <c r="S15" s="204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75"/>
      <c r="D20" s="75"/>
      <c r="E20" s="76"/>
      <c r="F20" s="76"/>
      <c r="G20" s="76"/>
      <c r="H20" s="76"/>
      <c r="I20" s="76"/>
      <c r="J20" s="76"/>
      <c r="L20" s="159" t="s">
        <v>7</v>
      </c>
      <c r="M20" s="159"/>
      <c r="N20" s="68"/>
      <c r="O20" s="69"/>
      <c r="P20" s="69"/>
      <c r="Q20" s="123"/>
      <c r="R20" s="54"/>
      <c r="S20" s="54"/>
      <c r="T20" s="13"/>
    </row>
    <row r="21" spans="2:20" ht="30" customHeight="1">
      <c r="B21" s="8"/>
      <c r="C21" s="67"/>
      <c r="D21" s="67"/>
      <c r="E21" s="76"/>
      <c r="F21" s="76"/>
      <c r="G21" s="76"/>
      <c r="H21" s="76"/>
      <c r="I21" s="76"/>
      <c r="J21" s="76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67"/>
      <c r="D22" s="67"/>
      <c r="E22" s="76"/>
      <c r="F22" s="76"/>
      <c r="G22" s="76"/>
      <c r="H22" s="76"/>
      <c r="I22" s="76"/>
      <c r="J22" s="76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67"/>
      <c r="D23" s="67"/>
      <c r="E23" s="76"/>
      <c r="F23" s="76"/>
      <c r="G23" s="76"/>
      <c r="H23" s="76"/>
      <c r="I23" s="76"/>
      <c r="J23" s="76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67"/>
      <c r="D24" s="67"/>
      <c r="E24" s="76"/>
      <c r="F24" s="76"/>
      <c r="G24" s="76"/>
      <c r="H24" s="76"/>
      <c r="I24" s="76"/>
      <c r="J24" s="76"/>
      <c r="K24" s="60"/>
      <c r="L24" s="61"/>
      <c r="M24" s="62"/>
      <c r="N24" s="51"/>
      <c r="O24" s="51"/>
      <c r="P24" s="160" t="s">
        <v>62</v>
      </c>
      <c r="Q24" s="161" t="str">
        <f>IF(COUNTIF(R9:S15,"NA")&gt;0, "NA",IF(COUNTIF(R9:S15,"PA")&gt;0,"PA", IF(COUNTIF(R9:S15,"A")&gt;=4,"A","LA")))</f>
        <v>LA</v>
      </c>
      <c r="R24" s="162"/>
      <c r="S24" s="163"/>
      <c r="T24" s="13"/>
    </row>
    <row r="25" spans="2:20" ht="30" customHeight="1">
      <c r="B25" s="8"/>
      <c r="C25" s="67"/>
      <c r="D25" s="67"/>
      <c r="E25" s="76"/>
      <c r="F25" s="76"/>
      <c r="G25" s="76"/>
      <c r="H25" s="76"/>
      <c r="I25" s="76"/>
      <c r="J25" s="76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67"/>
      <c r="D26" s="67"/>
      <c r="E26" s="76"/>
      <c r="F26" s="76"/>
      <c r="G26" s="76"/>
      <c r="H26" s="76"/>
      <c r="I26" s="76"/>
      <c r="J26" s="76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67"/>
      <c r="D27" s="67"/>
      <c r="E27" s="76"/>
      <c r="F27" s="76"/>
      <c r="G27" s="76"/>
      <c r="H27" s="76"/>
      <c r="I27" s="76"/>
      <c r="J27" s="76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67"/>
      <c r="D28" s="67"/>
      <c r="E28" s="76"/>
      <c r="F28" s="76"/>
      <c r="G28" s="76"/>
      <c r="H28" s="76"/>
      <c r="I28" s="76"/>
      <c r="J28" s="76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54">
    <mergeCell ref="P11:Q11"/>
    <mergeCell ref="R11:S11"/>
    <mergeCell ref="M45:O46"/>
    <mergeCell ref="O8:Q8"/>
    <mergeCell ref="L22:M22"/>
    <mergeCell ref="L20:M20"/>
    <mergeCell ref="P24:P28"/>
    <mergeCell ref="Q24:S28"/>
    <mergeCell ref="M12:N12"/>
    <mergeCell ref="M10:N10"/>
    <mergeCell ref="M9:N9"/>
    <mergeCell ref="P16:Q16"/>
    <mergeCell ref="P15:Q15"/>
    <mergeCell ref="P14:Q14"/>
    <mergeCell ref="P13:Q13"/>
    <mergeCell ref="P10:Q10"/>
    <mergeCell ref="P9:Q9"/>
    <mergeCell ref="D13:D15"/>
    <mergeCell ref="C9:C16"/>
    <mergeCell ref="D9:D12"/>
    <mergeCell ref="G13:H13"/>
    <mergeCell ref="G14:H14"/>
    <mergeCell ref="G11:H11"/>
    <mergeCell ref="J9:K9"/>
    <mergeCell ref="J10:K10"/>
    <mergeCell ref="J12:K12"/>
    <mergeCell ref="J13:K13"/>
    <mergeCell ref="J14:K14"/>
    <mergeCell ref="J11:K11"/>
    <mergeCell ref="M16:N16"/>
    <mergeCell ref="M11:N11"/>
    <mergeCell ref="M15:N15"/>
    <mergeCell ref="Q18:Q20"/>
    <mergeCell ref="Q2:S2"/>
    <mergeCell ref="F8:H8"/>
    <mergeCell ref="I8:K8"/>
    <mergeCell ref="L8:N8"/>
    <mergeCell ref="R8:S8"/>
    <mergeCell ref="R9:S9"/>
    <mergeCell ref="R10:S10"/>
    <mergeCell ref="R12:S12"/>
    <mergeCell ref="R13:S13"/>
    <mergeCell ref="R14:S14"/>
    <mergeCell ref="R15:S15"/>
    <mergeCell ref="R16:S16"/>
    <mergeCell ref="G10:H10"/>
    <mergeCell ref="G12:H12"/>
    <mergeCell ref="P12:Q12"/>
    <mergeCell ref="M14:N14"/>
    <mergeCell ref="M13:N13"/>
    <mergeCell ref="G15:H15"/>
    <mergeCell ref="G16:H16"/>
    <mergeCell ref="J15:K15"/>
    <mergeCell ref="J16:K16"/>
  </mergeCells>
  <phoneticPr fontId="2" type="noConversion"/>
  <printOptions horizontalCentered="1" verticalCentered="1"/>
  <pageMargins left="0.27559055118110237" right="0.27559055118110237" top="0.19685039370078741" bottom="0.19685039370078741" header="0" footer="0"/>
  <pageSetup paperSize="9" scale="34" orientation="landscape" r:id="rId1"/>
  <headerFooter alignWithMargins="0">
    <oddFooter>&amp;L&amp;8&amp;D  _  &amp;T&amp;C&amp;8&amp;F  -  &amp;A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85FF-297F-0346-BF06-914B93014FB6}">
  <sheetPr>
    <pageSetUpPr fitToPage="1"/>
  </sheetPr>
  <dimension ref="B1:X85"/>
  <sheetViews>
    <sheetView showGridLines="0" tabSelected="1" topLeftCell="A2" zoomScale="55" zoomScaleNormal="55" zoomScalePageLayoutView="40" workbookViewId="0">
      <selection activeCell="F15" sqref="F15:Q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/>
      <c r="J3" s="70"/>
      <c r="K3" s="70"/>
      <c r="L3" s="11"/>
      <c r="M3" s="11"/>
      <c r="N3" s="12" t="s">
        <v>4</v>
      </c>
      <c r="O3" s="70"/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70"/>
      <c r="J4" s="70"/>
      <c r="K4" s="71"/>
      <c r="L4" s="17"/>
      <c r="M4" s="18"/>
      <c r="N4" s="16" t="s">
        <v>6</v>
      </c>
      <c r="O4" s="70"/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/>
      <c r="J5" s="70"/>
      <c r="K5" s="70"/>
      <c r="L5" s="2"/>
      <c r="M5" s="16"/>
      <c r="N5" s="16" t="s">
        <v>8</v>
      </c>
      <c r="O5" s="70"/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107</v>
      </c>
      <c r="F9" s="180" t="s">
        <v>63</v>
      </c>
      <c r="G9" s="181"/>
      <c r="H9" s="182"/>
      <c r="I9" s="180" t="s">
        <v>64</v>
      </c>
      <c r="J9" s="181"/>
      <c r="K9" s="182"/>
      <c r="L9" s="180" t="s">
        <v>65</v>
      </c>
      <c r="M9" s="181"/>
      <c r="N9" s="182"/>
      <c r="O9" s="180" t="s">
        <v>66</v>
      </c>
      <c r="P9" s="181"/>
      <c r="Q9" s="182"/>
      <c r="R9" s="127"/>
      <c r="S9" s="128"/>
      <c r="T9" s="13"/>
    </row>
    <row r="10" spans="2:24" ht="100.25" customHeight="1">
      <c r="B10" s="8"/>
      <c r="C10" s="143"/>
      <c r="D10" s="146"/>
      <c r="E10" s="110" t="s">
        <v>94</v>
      </c>
      <c r="F10" s="174" t="s">
        <v>109</v>
      </c>
      <c r="G10" s="175"/>
      <c r="H10" s="176"/>
      <c r="I10" s="174" t="s">
        <v>110</v>
      </c>
      <c r="J10" s="175"/>
      <c r="K10" s="176"/>
      <c r="L10" s="174" t="s">
        <v>95</v>
      </c>
      <c r="M10" s="175"/>
      <c r="N10" s="176"/>
      <c r="O10" s="174" t="s">
        <v>96</v>
      </c>
      <c r="P10" s="175"/>
      <c r="Q10" s="176"/>
      <c r="R10" s="155"/>
      <c r="S10" s="156"/>
      <c r="T10" s="13"/>
    </row>
    <row r="11" spans="2:24" ht="100.25" customHeight="1">
      <c r="B11" s="8"/>
      <c r="C11" s="143"/>
      <c r="D11" s="146"/>
      <c r="E11" s="110" t="s">
        <v>102</v>
      </c>
      <c r="F11" s="174" t="s">
        <v>103</v>
      </c>
      <c r="G11" s="175"/>
      <c r="H11" s="176"/>
      <c r="I11" s="174" t="s">
        <v>104</v>
      </c>
      <c r="J11" s="175"/>
      <c r="K11" s="176"/>
      <c r="L11" s="174" t="s">
        <v>105</v>
      </c>
      <c r="M11" s="175"/>
      <c r="N11" s="176"/>
      <c r="O11" s="174" t="s">
        <v>106</v>
      </c>
      <c r="P11" s="175"/>
      <c r="Q11" s="176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67</v>
      </c>
      <c r="F12" s="177" t="s">
        <v>68</v>
      </c>
      <c r="G12" s="178"/>
      <c r="H12" s="179"/>
      <c r="I12" s="177" t="s">
        <v>69</v>
      </c>
      <c r="J12" s="178"/>
      <c r="K12" s="179"/>
      <c r="L12" s="177" t="s">
        <v>70</v>
      </c>
      <c r="M12" s="178"/>
      <c r="N12" s="179"/>
      <c r="O12" s="177"/>
      <c r="P12" s="178"/>
      <c r="Q12" s="179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93</v>
      </c>
      <c r="F13" s="180" t="s">
        <v>111</v>
      </c>
      <c r="G13" s="181"/>
      <c r="H13" s="182"/>
      <c r="I13" s="180" t="s">
        <v>112</v>
      </c>
      <c r="J13" s="181"/>
      <c r="K13" s="182"/>
      <c r="L13" s="180" t="s">
        <v>113</v>
      </c>
      <c r="M13" s="181"/>
      <c r="N13" s="182"/>
      <c r="O13" s="180" t="s">
        <v>71</v>
      </c>
      <c r="P13" s="181"/>
      <c r="Q13" s="182"/>
      <c r="R13" s="127"/>
      <c r="S13" s="128"/>
      <c r="T13" s="13"/>
    </row>
    <row r="14" spans="2:24" ht="100.25" customHeight="1">
      <c r="B14" s="8"/>
      <c r="C14" s="143"/>
      <c r="D14" s="140"/>
      <c r="E14" s="110" t="s">
        <v>99</v>
      </c>
      <c r="F14" s="174" t="s">
        <v>98</v>
      </c>
      <c r="G14" s="175"/>
      <c r="H14" s="176"/>
      <c r="I14" s="174" t="s">
        <v>100</v>
      </c>
      <c r="J14" s="175"/>
      <c r="K14" s="176"/>
      <c r="L14" s="174" t="s">
        <v>101</v>
      </c>
      <c r="M14" s="175"/>
      <c r="N14" s="176"/>
      <c r="O14" s="174" t="s">
        <v>71</v>
      </c>
      <c r="P14" s="175"/>
      <c r="Q14" s="176"/>
      <c r="R14" s="155"/>
      <c r="S14" s="156"/>
      <c r="T14" s="13"/>
    </row>
    <row r="15" spans="2:24" ht="100.25" customHeight="1" thickBot="1">
      <c r="B15" s="8"/>
      <c r="C15" s="143"/>
      <c r="D15" s="141"/>
      <c r="E15" s="112" t="s">
        <v>97</v>
      </c>
      <c r="F15" s="183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5"/>
      <c r="R15" s="191"/>
      <c r="S15" s="192"/>
      <c r="T15" s="13"/>
    </row>
    <row r="16" spans="2:24" ht="100.25" customHeight="1" thickTop="1" thickBot="1">
      <c r="B16" s="8"/>
      <c r="C16" s="144"/>
      <c r="D16" s="111"/>
      <c r="E16" s="186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8"/>
      <c r="R16" s="189"/>
      <c r="S16" s="190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75"/>
      <c r="D20" s="75"/>
      <c r="E20" s="76"/>
      <c r="F20" s="76"/>
      <c r="G20" s="76"/>
      <c r="H20" s="76"/>
      <c r="I20" s="76"/>
      <c r="J20" s="76"/>
      <c r="L20" s="159" t="s">
        <v>7</v>
      </c>
      <c r="M20" s="159"/>
      <c r="N20" s="68"/>
      <c r="O20" s="69"/>
      <c r="P20" s="69"/>
      <c r="Q20" s="123"/>
      <c r="R20" s="54"/>
      <c r="S20" s="54"/>
      <c r="T20" s="13"/>
    </row>
    <row r="21" spans="2:20" ht="30" customHeight="1">
      <c r="B21" s="8"/>
      <c r="C21" s="67"/>
      <c r="D21" s="67"/>
      <c r="E21" s="76"/>
      <c r="F21" s="76"/>
      <c r="G21" s="76"/>
      <c r="H21" s="76"/>
      <c r="I21" s="76"/>
      <c r="J21" s="76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67"/>
      <c r="D22" s="67"/>
      <c r="E22" s="76"/>
      <c r="F22" s="76"/>
      <c r="G22" s="76"/>
      <c r="H22" s="76"/>
      <c r="I22" s="76"/>
      <c r="J22" s="76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67"/>
      <c r="D23" s="67"/>
      <c r="E23" s="76"/>
      <c r="F23" s="76"/>
      <c r="G23" s="76"/>
      <c r="H23" s="76"/>
      <c r="I23" s="76"/>
      <c r="J23" s="76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67"/>
      <c r="D24" s="67"/>
      <c r="E24" s="76"/>
      <c r="F24" s="76"/>
      <c r="G24" s="76"/>
      <c r="H24" s="76"/>
      <c r="I24" s="76"/>
      <c r="J24" s="76"/>
      <c r="K24" s="60"/>
      <c r="L24" s="61"/>
      <c r="M24" s="62"/>
      <c r="N24" s="51"/>
      <c r="O24" s="51"/>
      <c r="P24" s="160" t="s">
        <v>62</v>
      </c>
      <c r="Q24" s="161" t="str">
        <f>IF(COUNTIF(R9:S15,"NA")&gt;0, "NA",IF(COUNTIF(R9:S15,"PA")&gt;0,"PA", IF(COUNTIF(R9:S15,"A")&gt;=4,"A","LA")))</f>
        <v>LA</v>
      </c>
      <c r="R24" s="162"/>
      <c r="S24" s="163"/>
      <c r="T24" s="13"/>
    </row>
    <row r="25" spans="2:20" ht="30" customHeight="1">
      <c r="B25" s="8"/>
      <c r="C25" s="67"/>
      <c r="D25" s="67"/>
      <c r="E25" s="76"/>
      <c r="F25" s="76"/>
      <c r="G25" s="76"/>
      <c r="H25" s="76"/>
      <c r="I25" s="76"/>
      <c r="J25" s="76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67"/>
      <c r="D26" s="67"/>
      <c r="E26" s="76"/>
      <c r="F26" s="76"/>
      <c r="G26" s="76"/>
      <c r="H26" s="76"/>
      <c r="I26" s="76"/>
      <c r="J26" s="76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67"/>
      <c r="D27" s="67"/>
      <c r="E27" s="76"/>
      <c r="F27" s="76"/>
      <c r="G27" s="76"/>
      <c r="H27" s="76"/>
      <c r="I27" s="76"/>
      <c r="J27" s="76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67"/>
      <c r="D28" s="67"/>
      <c r="E28" s="76"/>
      <c r="F28" s="76"/>
      <c r="G28" s="76"/>
      <c r="H28" s="76"/>
      <c r="I28" s="76"/>
      <c r="J28" s="76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49">
    <mergeCell ref="C9:C16"/>
    <mergeCell ref="D9:D12"/>
    <mergeCell ref="Q2:S2"/>
    <mergeCell ref="F8:H8"/>
    <mergeCell ref="I8:K8"/>
    <mergeCell ref="L8:N8"/>
    <mergeCell ref="O8:Q8"/>
    <mergeCell ref="R8:S8"/>
    <mergeCell ref="R9:S9"/>
    <mergeCell ref="R10:S10"/>
    <mergeCell ref="F9:H9"/>
    <mergeCell ref="I9:K9"/>
    <mergeCell ref="L9:N9"/>
    <mergeCell ref="O9:Q9"/>
    <mergeCell ref="D13:D15"/>
    <mergeCell ref="R13:S13"/>
    <mergeCell ref="P24:P28"/>
    <mergeCell ref="Q24:S28"/>
    <mergeCell ref="M45:O46"/>
    <mergeCell ref="E16:Q16"/>
    <mergeCell ref="F11:H11"/>
    <mergeCell ref="I11:K11"/>
    <mergeCell ref="L11:N11"/>
    <mergeCell ref="R16:S16"/>
    <mergeCell ref="Q18:Q20"/>
    <mergeCell ref="L20:M20"/>
    <mergeCell ref="R14:S14"/>
    <mergeCell ref="R15:S15"/>
    <mergeCell ref="R11:S11"/>
    <mergeCell ref="R12:S12"/>
    <mergeCell ref="O11:Q11"/>
    <mergeCell ref="F12:H12"/>
    <mergeCell ref="L22:M22"/>
    <mergeCell ref="O12:Q12"/>
    <mergeCell ref="F13:H13"/>
    <mergeCell ref="I13:K13"/>
    <mergeCell ref="L13:N13"/>
    <mergeCell ref="O13:Q13"/>
    <mergeCell ref="F15:Q15"/>
    <mergeCell ref="I12:K12"/>
    <mergeCell ref="L12:N12"/>
    <mergeCell ref="F10:H10"/>
    <mergeCell ref="I10:K10"/>
    <mergeCell ref="L10:N10"/>
    <mergeCell ref="O10:Q10"/>
    <mergeCell ref="F14:H14"/>
    <mergeCell ref="I14:K14"/>
    <mergeCell ref="L14:N14"/>
    <mergeCell ref="O14:Q14"/>
  </mergeCells>
  <phoneticPr fontId="2" type="noConversion"/>
  <printOptions horizontalCentered="1" verticalCentered="1"/>
  <pageMargins left="0.27559055118110237" right="0.27559055118110237" top="0.19685039370078741" bottom="0.19685039370078741" header="0" footer="0"/>
  <pageSetup paperSize="9" scale="34" orientation="landscape" r:id="rId1"/>
  <headerFooter alignWithMargins="0">
    <oddFooter>&amp;L&amp;8&amp;D  _  &amp;T&amp;C&amp;8&amp;F  -  &amp;A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B23" sqref="B23"/>
    </sheetView>
  </sheetViews>
  <sheetFormatPr baseColWidth="10" defaultColWidth="11.5" defaultRowHeight="16"/>
  <cols>
    <col min="1" max="1" width="34" style="93" bestFit="1" customWidth="1"/>
    <col min="2" max="2" width="30.1640625" style="93" customWidth="1"/>
    <col min="3" max="3" width="18" style="93" customWidth="1"/>
    <col min="4" max="4" width="11.5" style="100"/>
    <col min="5" max="5" width="26" style="93" bestFit="1" customWidth="1"/>
    <col min="6" max="6" width="11.5" style="93"/>
    <col min="7" max="7" width="82.1640625" style="93" customWidth="1"/>
    <col min="8" max="16384" width="11.5" style="93"/>
  </cols>
  <sheetData>
    <row r="1" spans="1:7" ht="18" customHeight="1"/>
    <row r="2" spans="1:7" ht="18" customHeight="1">
      <c r="A2" s="96" t="s">
        <v>5</v>
      </c>
      <c r="B2" s="97" t="s">
        <v>72</v>
      </c>
      <c r="C2" s="97"/>
      <c r="D2" s="98"/>
    </row>
    <row r="3" spans="1:7" ht="18" customHeight="1">
      <c r="A3" s="84" t="s">
        <v>7</v>
      </c>
      <c r="B3" s="97" t="s">
        <v>73</v>
      </c>
      <c r="C3" s="95" t="e" vm="1">
        <v>#VALUE!</v>
      </c>
      <c r="D3" s="99"/>
    </row>
    <row r="4" spans="1:7" ht="18" customHeight="1">
      <c r="A4" s="84" t="s">
        <v>4</v>
      </c>
      <c r="B4" s="97" t="s">
        <v>74</v>
      </c>
    </row>
    <row r="5" spans="1:7" ht="18" customHeight="1">
      <c r="A5" s="96" t="s">
        <v>6</v>
      </c>
      <c r="B5" s="97">
        <v>40</v>
      </c>
    </row>
    <row r="6" spans="1:7" ht="18" customHeight="1">
      <c r="A6" s="96" t="s">
        <v>8</v>
      </c>
      <c r="B6" s="97" t="s">
        <v>108</v>
      </c>
    </row>
    <row r="7" spans="1:7" ht="18" customHeight="1">
      <c r="E7" s="101"/>
      <c r="G7" s="92"/>
    </row>
    <row r="8" spans="1:7" ht="18" customHeight="1">
      <c r="A8" s="96" t="s">
        <v>75</v>
      </c>
      <c r="B8" s="93" t="s">
        <v>76</v>
      </c>
      <c r="C8" s="96" t="s">
        <v>77</v>
      </c>
      <c r="D8" s="102" t="str">
        <f ca="1">INDIRECT(B8&amp;"!Q24")</f>
        <v/>
      </c>
      <c r="E8" s="101"/>
      <c r="G8" s="92"/>
    </row>
    <row r="9" spans="1:7" ht="18" customHeight="1">
      <c r="B9" s="93" t="s">
        <v>78</v>
      </c>
      <c r="D9" s="102" t="str">
        <f t="shared" ref="D9:D20" ca="1" si="0">INDIRECT(B9&amp;"!Q24")</f>
        <v/>
      </c>
      <c r="E9" s="101"/>
    </row>
    <row r="10" spans="1:7" ht="18" customHeight="1">
      <c r="B10" s="93" t="s">
        <v>79</v>
      </c>
      <c r="D10" s="102" t="str">
        <f t="shared" ca="1" si="0"/>
        <v/>
      </c>
      <c r="E10" s="101"/>
    </row>
    <row r="11" spans="1:7" ht="18" customHeight="1">
      <c r="B11" s="93" t="s">
        <v>80</v>
      </c>
      <c r="D11" s="102" t="str">
        <f t="shared" ca="1" si="0"/>
        <v/>
      </c>
      <c r="E11" s="101"/>
      <c r="G11" s="92"/>
    </row>
    <row r="12" spans="1:7" ht="18" customHeight="1">
      <c r="B12" s="93" t="s">
        <v>81</v>
      </c>
      <c r="D12" s="102" t="str">
        <f t="shared" ca="1" si="0"/>
        <v/>
      </c>
      <c r="E12" s="101"/>
      <c r="G12" s="92"/>
    </row>
    <row r="13" spans="1:7" ht="18" customHeight="1">
      <c r="B13" s="93" t="s">
        <v>82</v>
      </c>
      <c r="D13" s="102" t="str">
        <f t="shared" ca="1" si="0"/>
        <v/>
      </c>
      <c r="E13" s="101"/>
      <c r="G13" s="92"/>
    </row>
    <row r="14" spans="1:7" ht="18" customHeight="1">
      <c r="B14" s="93" t="s">
        <v>83</v>
      </c>
      <c r="D14" s="102" t="str">
        <f t="shared" ca="1" si="0"/>
        <v/>
      </c>
      <c r="E14" s="101"/>
    </row>
    <row r="15" spans="1:7" ht="18" customHeight="1">
      <c r="B15" s="93" t="s">
        <v>84</v>
      </c>
      <c r="D15" s="102" t="str">
        <f t="shared" ca="1" si="0"/>
        <v/>
      </c>
      <c r="E15" s="101"/>
    </row>
    <row r="16" spans="1:7" ht="18" customHeight="1">
      <c r="B16" s="93" t="s">
        <v>85</v>
      </c>
      <c r="D16" s="102" t="str">
        <f t="shared" ca="1" si="0"/>
        <v/>
      </c>
      <c r="E16" s="101"/>
      <c r="G16" s="92"/>
    </row>
    <row r="17" spans="2:7" ht="18" customHeight="1">
      <c r="B17" s="93" t="s">
        <v>86</v>
      </c>
      <c r="D17" s="102" t="str">
        <f t="shared" ca="1" si="0"/>
        <v/>
      </c>
      <c r="E17" s="101"/>
    </row>
    <row r="18" spans="2:7" ht="18" customHeight="1">
      <c r="B18" s="93" t="s">
        <v>87</v>
      </c>
      <c r="D18" s="102" t="str">
        <f t="shared" ca="1" si="0"/>
        <v/>
      </c>
      <c r="E18" s="101"/>
    </row>
    <row r="19" spans="2:7" ht="18" customHeight="1">
      <c r="B19" s="93" t="s">
        <v>88</v>
      </c>
      <c r="D19" s="102" t="str">
        <f t="shared" ca="1" si="0"/>
        <v/>
      </c>
      <c r="E19" s="101"/>
      <c r="G19" s="92"/>
    </row>
    <row r="20" spans="2:7" ht="18" customHeight="1">
      <c r="B20" s="93" t="s">
        <v>89</v>
      </c>
      <c r="D20" s="102" t="str">
        <f t="shared" ca="1" si="0"/>
        <v/>
      </c>
      <c r="E20" s="101"/>
    </row>
    <row r="21" spans="2:7" ht="18" customHeight="1">
      <c r="D21" s="102"/>
      <c r="E21" s="101"/>
    </row>
    <row r="22" spans="2:7" ht="18" customHeight="1">
      <c r="D22" s="102"/>
      <c r="E22" s="101"/>
    </row>
    <row r="23" spans="2:7" ht="18" customHeight="1">
      <c r="D23" s="102"/>
    </row>
  </sheetData>
  <sortState xmlns:xlrd2="http://schemas.microsoft.com/office/spreadsheetml/2017/richdata2" ref="B8:B20">
    <sortCondition ref="B8:B20"/>
  </sortState>
  <conditionalFormatting sqref="D8:D23">
    <cfRule type="cellIs" dxfId="3" priority="1" operator="equal">
      <formula>"NA"</formula>
    </cfRule>
    <cfRule type="cellIs" dxfId="2" priority="2" operator="equal">
      <formula>"PA"</formula>
    </cfRule>
    <cfRule type="cellIs" dxfId="1" priority="3" operator="equal">
      <formula>"LA"</formula>
    </cfRule>
    <cfRule type="cellIs" dxfId="0" priority="4" operator="equal">
      <formula>"A"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EA05-08E8-466A-A243-6E888DC63C90}">
  <sheetPr>
    <pageSetUpPr fitToPage="1"/>
  </sheetPr>
  <dimension ref="B1:X85"/>
  <sheetViews>
    <sheetView showGridLines="0" topLeftCell="A2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Consolidation!B20</f>
        <v>ThomasR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9588-2FDD-43EF-9738-6DB1EEB1332E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Consolidation!B16</f>
        <v>Néo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X85"/>
  <sheetViews>
    <sheetView showGridLines="0" topLeftCell="A4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Consolidation!B8</f>
        <v>Aaron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C20:D20"/>
    <mergeCell ref="M45:O46"/>
    <mergeCell ref="G16:H16"/>
    <mergeCell ref="J16:K16"/>
    <mergeCell ref="M16:N16"/>
    <mergeCell ref="L22:M22"/>
    <mergeCell ref="C9:C16"/>
    <mergeCell ref="D9:D12"/>
    <mergeCell ref="D13:D15"/>
    <mergeCell ref="C26:D26"/>
    <mergeCell ref="C27:D27"/>
    <mergeCell ref="C28:D28"/>
    <mergeCell ref="C21:D21"/>
    <mergeCell ref="C22:D22"/>
    <mergeCell ref="C23:D23"/>
    <mergeCell ref="C24:D24"/>
    <mergeCell ref="P16:Q16"/>
    <mergeCell ref="Q18:Q20"/>
    <mergeCell ref="L20:M20"/>
    <mergeCell ref="P15:Q15"/>
    <mergeCell ref="R15:S15"/>
    <mergeCell ref="N20:O20"/>
    <mergeCell ref="P24:P28"/>
    <mergeCell ref="Q24:S28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4:S14"/>
    <mergeCell ref="G15:H15"/>
    <mergeCell ref="J15:K15"/>
    <mergeCell ref="M15:N15"/>
    <mergeCell ref="M9:N9"/>
    <mergeCell ref="R11:S11"/>
    <mergeCell ref="G12:H12"/>
    <mergeCell ref="J12:K12"/>
    <mergeCell ref="M12:N12"/>
    <mergeCell ref="P12:Q12"/>
    <mergeCell ref="R12:S12"/>
    <mergeCell ref="P11:Q11"/>
    <mergeCell ref="G11:H11"/>
    <mergeCell ref="J11:K11"/>
    <mergeCell ref="M11:N11"/>
    <mergeCell ref="C25:D25"/>
    <mergeCell ref="Q2:S2"/>
    <mergeCell ref="F8:H8"/>
    <mergeCell ref="I8:K8"/>
    <mergeCell ref="L8:N8"/>
    <mergeCell ref="O8:Q8"/>
    <mergeCell ref="R8:S8"/>
    <mergeCell ref="R9:S9"/>
    <mergeCell ref="G10:H10"/>
    <mergeCell ref="J10:K10"/>
    <mergeCell ref="M10:N10"/>
    <mergeCell ref="P10:Q10"/>
    <mergeCell ref="R10:S10"/>
    <mergeCell ref="P9:Q9"/>
    <mergeCell ref="G9:H9"/>
    <mergeCell ref="J9:K9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0281-5D7A-4DC1-BD39-95FCBDBEF308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Consolidation!B18</f>
        <v>Stepan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FE2B-6558-4630-9FE4-524E3D1C4F51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Consolidation!B19</f>
        <v>ThomasP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FFD6-E4F6-4495-B822-78A37CD89C50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Consolidation!B10</f>
        <v>Carl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6E06-61E5-4E19-A43E-3FF8A4F5087A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Consolidation!B17</f>
        <v>Ryan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B1D5-2BD8-42C6-BDCC-B5732713B010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Consolidation!B11</f>
        <v>David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F68A-67FD-4142-A72D-11338AC7CCC7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Consolidation!B9</f>
        <v>Camille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530F-EFAE-4F1C-8A16-22391BF78A05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Consolidation!B12</f>
        <v>Elias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ABFE-80F3-4D8C-A9A2-CF05D70EC7C0}">
  <sheetPr>
    <pageSetUpPr fitToPage="1"/>
  </sheetPr>
  <dimension ref="B1:AB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8" ht="14" thickBot="1"/>
    <row r="2" spans="2:28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8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Consolidation!B13</f>
        <v>Jonathan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8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8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8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8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8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8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8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8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  <c r="AB11" t="s">
        <v>91</v>
      </c>
    </row>
    <row r="12" spans="2:28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8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8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8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8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42F1-FD44-4E87-B42A-E3BE2AA3984B}">
  <sheetPr>
    <pageSetUpPr fitToPage="1"/>
  </sheetPr>
  <dimension ref="B1:X85"/>
  <sheetViews>
    <sheetView showGridLines="0" zoomScale="50" zoomScaleNormal="50" zoomScalePageLayoutView="40" workbookViewId="0">
      <selection activeCell="E9" sqref="E9:S15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4" ht="14" thickBot="1"/>
    <row r="2" spans="2:24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4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Consolidation!B14</f>
        <v>Kilian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4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4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4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4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4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4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4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4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</row>
    <row r="12" spans="2:24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4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4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4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4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5386-98F5-4F7F-A8B3-9D4EB407C8E1}">
  <sheetPr>
    <pageSetUpPr fitToPage="1"/>
  </sheetPr>
  <dimension ref="B1:AB85"/>
  <sheetViews>
    <sheetView showGridLines="0" zoomScale="50" zoomScaleNormal="50" zoomScalePageLayoutView="40" workbookViewId="0">
      <selection activeCell="G13" sqref="G13:H13"/>
    </sheetView>
  </sheetViews>
  <sheetFormatPr baseColWidth="10" defaultColWidth="10.6640625" defaultRowHeight="13" zeroHeight="1"/>
  <cols>
    <col min="2" max="2" width="2.6640625" customWidth="1"/>
    <col min="3" max="3" width="7.6640625" customWidth="1"/>
    <col min="4" max="4" width="10.6640625" customWidth="1"/>
    <col min="5" max="5" width="58.6640625" customWidth="1"/>
    <col min="6" max="6" width="10.6640625" customWidth="1"/>
    <col min="7" max="7" width="48.6640625" customWidth="1"/>
    <col min="8" max="9" width="10.6640625" customWidth="1"/>
    <col min="10" max="10" width="48.6640625" customWidth="1"/>
    <col min="11" max="12" width="10.6640625" customWidth="1"/>
    <col min="13" max="13" width="48.6640625" customWidth="1"/>
    <col min="14" max="15" width="10.6640625" customWidth="1"/>
    <col min="16" max="16" width="48.6640625" customWidth="1"/>
    <col min="17" max="17" width="10.6640625" customWidth="1"/>
    <col min="18" max="18" width="7.6640625" customWidth="1"/>
    <col min="19" max="19" width="10.6640625" customWidth="1"/>
    <col min="20" max="20" width="2.6640625" customWidth="1"/>
  </cols>
  <sheetData>
    <row r="1" spans="2:28" ht="14" thickBot="1"/>
    <row r="2" spans="2:28" ht="71.25" customHeight="1">
      <c r="B2" s="3"/>
      <c r="C2" s="4" t="s">
        <v>0</v>
      </c>
      <c r="D2" s="5"/>
      <c r="E2" s="6"/>
      <c r="F2" s="6"/>
      <c r="G2" s="6"/>
      <c r="H2" s="6"/>
      <c r="I2" s="5"/>
      <c r="J2" s="5"/>
      <c r="K2" s="5"/>
      <c r="L2" s="5"/>
      <c r="M2" s="6"/>
      <c r="N2" s="6"/>
      <c r="O2" s="5"/>
      <c r="P2" s="5"/>
      <c r="Q2" s="124" t="s">
        <v>1</v>
      </c>
      <c r="R2" s="124"/>
      <c r="S2" s="124"/>
      <c r="T2" s="7"/>
    </row>
    <row r="3" spans="2:28" ht="37.5" customHeight="1">
      <c r="B3" s="8"/>
      <c r="C3" s="9"/>
      <c r="D3" s="10" t="s">
        <v>2</v>
      </c>
      <c r="E3" s="11"/>
      <c r="F3" s="11"/>
      <c r="G3" s="11"/>
      <c r="H3" s="12" t="s">
        <v>3</v>
      </c>
      <c r="I3" s="70" t="str">
        <f>Consolidation!B15</f>
        <v>Latif</v>
      </c>
      <c r="J3" s="70"/>
      <c r="K3" s="70"/>
      <c r="L3" s="11"/>
      <c r="M3" s="11"/>
      <c r="N3" s="12" t="s">
        <v>4</v>
      </c>
      <c r="O3" s="70" t="str">
        <f>Consolidation!B4</f>
        <v>P_BULLE</v>
      </c>
      <c r="P3" s="70"/>
      <c r="Q3" s="70"/>
      <c r="R3" s="70"/>
      <c r="S3" s="70"/>
      <c r="T3" s="13"/>
    </row>
    <row r="4" spans="2:28" s="20" customFormat="1" ht="37.5" customHeight="1">
      <c r="B4" s="14"/>
      <c r="C4" s="9"/>
      <c r="D4" s="10"/>
      <c r="E4" s="17"/>
      <c r="F4" s="17"/>
      <c r="G4" s="15"/>
      <c r="H4" s="16" t="s">
        <v>5</v>
      </c>
      <c r="I4" s="94" t="str">
        <f>Consolidation!B2</f>
        <v>2025-2026 / CMID2A</v>
      </c>
      <c r="J4" s="70"/>
      <c r="K4" s="71"/>
      <c r="L4" s="17"/>
      <c r="M4" s="18"/>
      <c r="N4" s="16" t="s">
        <v>6</v>
      </c>
      <c r="O4" s="70">
        <f>Consolidation!B5</f>
        <v>40</v>
      </c>
      <c r="P4" s="70"/>
      <c r="Q4" s="70"/>
      <c r="R4" s="70"/>
      <c r="S4" s="70"/>
      <c r="T4" s="19"/>
    </row>
    <row r="5" spans="2:28" s="26" customFormat="1" ht="37.5" customHeight="1">
      <c r="B5" s="21"/>
      <c r="C5" s="9"/>
      <c r="D5" s="10"/>
      <c r="E5" s="22"/>
      <c r="F5" s="23"/>
      <c r="G5" s="22"/>
      <c r="H5" s="24" t="s">
        <v>7</v>
      </c>
      <c r="I5" s="70" t="str">
        <f>Consolidation!B3</f>
        <v>Xavier Carrel</v>
      </c>
      <c r="J5" s="70"/>
      <c r="K5" s="70"/>
      <c r="L5" s="2"/>
      <c r="M5" s="16"/>
      <c r="N5" s="16" t="s">
        <v>8</v>
      </c>
      <c r="O5" s="70" t="str">
        <f>Consolidation!B6</f>
        <v>Du 14.1.2026 au 13.3.2026</v>
      </c>
      <c r="P5" s="70"/>
      <c r="Q5" s="70"/>
      <c r="R5" s="70"/>
      <c r="S5" s="70"/>
      <c r="T5" s="25"/>
    </row>
    <row r="6" spans="2:28" s="26" customFormat="1" ht="20" customHeight="1" thickBot="1">
      <c r="B6" s="27"/>
      <c r="C6" s="28"/>
      <c r="D6" s="29"/>
      <c r="E6" s="30"/>
      <c r="F6" s="31"/>
      <c r="G6" s="72"/>
      <c r="H6" s="32"/>
      <c r="I6" s="33"/>
      <c r="J6" s="34"/>
      <c r="K6" s="34"/>
      <c r="L6" s="1"/>
      <c r="M6" s="35"/>
      <c r="N6" s="36"/>
      <c r="O6" s="33"/>
      <c r="P6" s="34"/>
      <c r="Q6" s="34"/>
      <c r="R6" s="34"/>
      <c r="S6" s="34"/>
      <c r="T6" s="37"/>
    </row>
    <row r="7" spans="2:28" s="39" customFormat="1" ht="20" customHeight="1" thickBot="1">
      <c r="B7" s="38"/>
      <c r="E7" s="40"/>
      <c r="F7" s="41"/>
      <c r="G7" s="42"/>
      <c r="H7" s="42"/>
      <c r="J7"/>
      <c r="K7"/>
      <c r="P7" s="73"/>
      <c r="Q7" s="73"/>
      <c r="R7" s="73"/>
      <c r="T7" s="43"/>
    </row>
    <row r="8" spans="2:28" s="45" customFormat="1" ht="70.25" customHeight="1" thickTop="1" thickBot="1">
      <c r="B8" s="44"/>
      <c r="E8" s="46"/>
      <c r="F8" s="125" t="s">
        <v>9</v>
      </c>
      <c r="G8" s="126"/>
      <c r="H8" s="126"/>
      <c r="I8" s="125" t="s">
        <v>10</v>
      </c>
      <c r="J8" s="126"/>
      <c r="K8" s="126"/>
      <c r="L8" s="125" t="s">
        <v>11</v>
      </c>
      <c r="M8" s="126"/>
      <c r="N8" s="126"/>
      <c r="O8" s="125" t="s">
        <v>12</v>
      </c>
      <c r="P8" s="126"/>
      <c r="Q8" s="126"/>
      <c r="R8" s="125" t="s">
        <v>13</v>
      </c>
      <c r="S8" s="126"/>
      <c r="T8" s="47"/>
      <c r="X8" s="74"/>
    </row>
    <row r="9" spans="2:28" ht="100.25" customHeight="1" thickTop="1">
      <c r="B9" s="8"/>
      <c r="C9" s="142" t="s">
        <v>14</v>
      </c>
      <c r="D9" s="145" t="s">
        <v>15</v>
      </c>
      <c r="E9" s="107" t="s">
        <v>16</v>
      </c>
      <c r="F9" s="87" t="s">
        <v>17</v>
      </c>
      <c r="G9" s="115" t="s">
        <v>18</v>
      </c>
      <c r="H9" s="116"/>
      <c r="I9" s="87" t="s">
        <v>17</v>
      </c>
      <c r="J9" s="149" t="s">
        <v>19</v>
      </c>
      <c r="K9" s="150"/>
      <c r="L9" s="87" t="s">
        <v>17</v>
      </c>
      <c r="M9" s="172" t="s">
        <v>20</v>
      </c>
      <c r="N9" s="173"/>
      <c r="O9" s="87" t="s">
        <v>17</v>
      </c>
      <c r="P9" s="115" t="s">
        <v>21</v>
      </c>
      <c r="Q9" s="116"/>
      <c r="R9" s="127"/>
      <c r="S9" s="128"/>
      <c r="T9" s="13"/>
    </row>
    <row r="10" spans="2:28" ht="100.25" customHeight="1">
      <c r="B10" s="8"/>
      <c r="C10" s="143"/>
      <c r="D10" s="146"/>
      <c r="E10" s="103" t="s">
        <v>22</v>
      </c>
      <c r="F10" s="104" t="s">
        <v>17</v>
      </c>
      <c r="G10" s="135" t="s">
        <v>23</v>
      </c>
      <c r="H10" s="136"/>
      <c r="I10" s="104" t="s">
        <v>17</v>
      </c>
      <c r="J10" s="113" t="s">
        <v>24</v>
      </c>
      <c r="K10" s="114"/>
      <c r="L10" s="104" t="s">
        <v>17</v>
      </c>
      <c r="M10" s="170" t="s">
        <v>25</v>
      </c>
      <c r="N10" s="171"/>
      <c r="O10" s="104" t="s">
        <v>17</v>
      </c>
      <c r="P10" s="113" t="s">
        <v>26</v>
      </c>
      <c r="Q10" s="114"/>
      <c r="R10" s="129"/>
      <c r="S10" s="130"/>
      <c r="T10" s="13"/>
    </row>
    <row r="11" spans="2:28" ht="100.25" customHeight="1">
      <c r="B11" s="8"/>
      <c r="C11" s="143"/>
      <c r="D11" s="146"/>
      <c r="E11" s="110" t="s">
        <v>27</v>
      </c>
      <c r="F11" s="88" t="s">
        <v>17</v>
      </c>
      <c r="G11" s="147" t="s">
        <v>28</v>
      </c>
      <c r="H11" s="148"/>
      <c r="I11" s="88" t="s">
        <v>17</v>
      </c>
      <c r="J11" s="147" t="s">
        <v>29</v>
      </c>
      <c r="K11" s="148"/>
      <c r="L11" s="88" t="s">
        <v>17</v>
      </c>
      <c r="M11" s="151" t="s">
        <v>30</v>
      </c>
      <c r="N11" s="152"/>
      <c r="O11" s="88" t="s">
        <v>17</v>
      </c>
      <c r="P11" s="153" t="s">
        <v>31</v>
      </c>
      <c r="Q11" s="154"/>
      <c r="R11" s="155"/>
      <c r="S11" s="156"/>
      <c r="T11" s="13"/>
      <c r="AB11" t="s">
        <v>92</v>
      </c>
    </row>
    <row r="12" spans="2:28" ht="100.25" customHeight="1" thickBot="1">
      <c r="B12" s="8"/>
      <c r="C12" s="143"/>
      <c r="D12" s="146"/>
      <c r="E12" s="89" t="s">
        <v>32</v>
      </c>
      <c r="F12" s="90" t="s">
        <v>17</v>
      </c>
      <c r="G12" s="117" t="s">
        <v>33</v>
      </c>
      <c r="H12" s="118"/>
      <c r="I12" s="90" t="s">
        <v>17</v>
      </c>
      <c r="J12" s="137" t="s">
        <v>34</v>
      </c>
      <c r="K12" s="138"/>
      <c r="L12" s="90" t="s">
        <v>17</v>
      </c>
      <c r="M12" s="137" t="s">
        <v>35</v>
      </c>
      <c r="N12" s="138"/>
      <c r="O12" s="90" t="s">
        <v>17</v>
      </c>
      <c r="P12" s="137" t="s">
        <v>36</v>
      </c>
      <c r="Q12" s="138"/>
      <c r="R12" s="131"/>
      <c r="S12" s="132"/>
      <c r="T12" s="13"/>
    </row>
    <row r="13" spans="2:28" ht="100.25" customHeight="1" thickTop="1">
      <c r="B13" s="8"/>
      <c r="C13" s="143"/>
      <c r="D13" s="139" t="s">
        <v>37</v>
      </c>
      <c r="E13" s="86" t="s">
        <v>38</v>
      </c>
      <c r="F13" s="85" t="s">
        <v>17</v>
      </c>
      <c r="G13" s="115" t="s">
        <v>39</v>
      </c>
      <c r="H13" s="116"/>
      <c r="I13" s="87" t="s">
        <v>17</v>
      </c>
      <c r="J13" s="115" t="s">
        <v>40</v>
      </c>
      <c r="K13" s="116"/>
      <c r="L13" s="87" t="s">
        <v>17</v>
      </c>
      <c r="M13" s="115" t="s">
        <v>41</v>
      </c>
      <c r="N13" s="116"/>
      <c r="O13" s="87" t="s">
        <v>17</v>
      </c>
      <c r="P13" s="115" t="s">
        <v>42</v>
      </c>
      <c r="Q13" s="116"/>
      <c r="R13" s="127"/>
      <c r="S13" s="128"/>
      <c r="T13" s="13"/>
    </row>
    <row r="14" spans="2:28" ht="100.25" customHeight="1">
      <c r="B14" s="8"/>
      <c r="C14" s="143"/>
      <c r="D14" s="140"/>
      <c r="E14" s="106" t="s">
        <v>43</v>
      </c>
      <c r="F14" s="105" t="s">
        <v>17</v>
      </c>
      <c r="G14" s="135" t="s">
        <v>44</v>
      </c>
      <c r="H14" s="136"/>
      <c r="I14" s="104" t="s">
        <v>17</v>
      </c>
      <c r="J14" s="135" t="s">
        <v>45</v>
      </c>
      <c r="K14" s="136"/>
      <c r="L14" s="105" t="s">
        <v>17</v>
      </c>
      <c r="M14" s="113" t="s">
        <v>46</v>
      </c>
      <c r="N14" s="114"/>
      <c r="O14" s="105" t="s">
        <v>17</v>
      </c>
      <c r="P14" s="113" t="s">
        <v>47</v>
      </c>
      <c r="Q14" s="114"/>
      <c r="R14" s="129"/>
      <c r="S14" s="130"/>
      <c r="T14" s="13"/>
    </row>
    <row r="15" spans="2:28" ht="100.25" customHeight="1" thickBot="1">
      <c r="B15" s="8"/>
      <c r="C15" s="143"/>
      <c r="D15" s="141"/>
      <c r="E15" s="89" t="s">
        <v>48</v>
      </c>
      <c r="F15" s="90" t="s">
        <v>17</v>
      </c>
      <c r="G15" s="117" t="s">
        <v>49</v>
      </c>
      <c r="H15" s="118"/>
      <c r="I15" s="90" t="s">
        <v>17</v>
      </c>
      <c r="J15" s="117" t="s">
        <v>50</v>
      </c>
      <c r="K15" s="118"/>
      <c r="L15" s="85" t="s">
        <v>17</v>
      </c>
      <c r="M15" s="137" t="s">
        <v>41</v>
      </c>
      <c r="N15" s="138"/>
      <c r="O15" s="90" t="s">
        <v>17</v>
      </c>
      <c r="P15" s="137" t="s">
        <v>42</v>
      </c>
      <c r="Q15" s="138"/>
      <c r="R15" s="131"/>
      <c r="S15" s="132"/>
      <c r="T15" s="13"/>
    </row>
    <row r="16" spans="2:28" ht="100.25" customHeight="1" thickTop="1" thickBot="1">
      <c r="B16" s="8"/>
      <c r="C16" s="144"/>
      <c r="D16" s="79" t="s">
        <v>51</v>
      </c>
      <c r="E16" s="80" t="s">
        <v>52</v>
      </c>
      <c r="F16" s="81" t="s">
        <v>17</v>
      </c>
      <c r="G16" s="119" t="s">
        <v>53</v>
      </c>
      <c r="H16" s="120"/>
      <c r="I16" s="81" t="s">
        <v>17</v>
      </c>
      <c r="J16" s="121" t="s">
        <v>54</v>
      </c>
      <c r="K16" s="122"/>
      <c r="L16" s="81" t="s">
        <v>17</v>
      </c>
      <c r="M16" s="121" t="s">
        <v>55</v>
      </c>
      <c r="N16" s="122"/>
      <c r="O16" s="81" t="s">
        <v>17</v>
      </c>
      <c r="P16" s="121" t="s">
        <v>56</v>
      </c>
      <c r="Q16" s="122"/>
      <c r="R16" s="133"/>
      <c r="S16" s="134"/>
      <c r="T16" s="13"/>
    </row>
    <row r="17" spans="2:20" ht="5" customHeight="1">
      <c r="B17" s="8"/>
      <c r="M17" s="48"/>
      <c r="P17" s="48"/>
      <c r="Q17" s="48"/>
      <c r="R17" s="49"/>
      <c r="T17" s="13"/>
    </row>
    <row r="18" spans="2:20" ht="25.5" customHeight="1">
      <c r="B18" s="8"/>
      <c r="C18" s="50" t="s">
        <v>57</v>
      </c>
      <c r="L18" s="51"/>
      <c r="M18" s="51"/>
      <c r="N18" s="50" t="s">
        <v>58</v>
      </c>
      <c r="O18" s="52"/>
      <c r="P18" s="53" t="s">
        <v>59</v>
      </c>
      <c r="Q18" s="123" t="s">
        <v>60</v>
      </c>
      <c r="R18" s="54"/>
      <c r="S18" s="54"/>
      <c r="T18" s="13"/>
    </row>
    <row r="19" spans="2:20" ht="5" customHeight="1">
      <c r="B19" s="8"/>
      <c r="G19" s="55"/>
      <c r="I19" s="56"/>
      <c r="L19" s="51"/>
      <c r="M19" s="51"/>
      <c r="N19" s="51"/>
      <c r="O19" s="51"/>
      <c r="P19" s="51"/>
      <c r="Q19" s="123"/>
      <c r="R19" s="54"/>
      <c r="S19" s="54"/>
      <c r="T19" s="13"/>
    </row>
    <row r="20" spans="2:20" ht="30" customHeight="1">
      <c r="B20" s="8"/>
      <c r="C20" s="193"/>
      <c r="D20" s="193"/>
      <c r="E20" s="83"/>
      <c r="F20" s="83"/>
      <c r="G20" s="83"/>
      <c r="H20" s="83"/>
      <c r="I20" s="83"/>
      <c r="J20" s="83"/>
      <c r="L20" s="159" t="s">
        <v>7</v>
      </c>
      <c r="M20" s="159"/>
      <c r="N20" s="194" t="s">
        <v>90</v>
      </c>
      <c r="O20" s="194"/>
      <c r="P20" s="91" t="e" vm="2">
        <f>Consolidation!C3</f>
        <v>#VALUE!</v>
      </c>
      <c r="Q20" s="123"/>
      <c r="R20" s="54"/>
      <c r="S20" s="54"/>
      <c r="T20" s="13"/>
    </row>
    <row r="21" spans="2:20" ht="30" customHeight="1">
      <c r="B21" s="8"/>
      <c r="C21" s="195"/>
      <c r="D21" s="196"/>
      <c r="E21" s="83"/>
      <c r="F21" s="83"/>
      <c r="G21" s="83"/>
      <c r="H21" s="83"/>
      <c r="I21" s="83"/>
      <c r="J21" s="83"/>
      <c r="L21" s="82"/>
      <c r="M21" s="82"/>
      <c r="N21" s="51"/>
      <c r="O21" s="51"/>
      <c r="P21" s="51"/>
      <c r="Q21" s="57"/>
      <c r="R21" s="58"/>
      <c r="S21" s="54"/>
      <c r="T21" s="13"/>
    </row>
    <row r="22" spans="2:20" ht="30" customHeight="1">
      <c r="B22" s="8"/>
      <c r="C22" s="196"/>
      <c r="D22" s="196"/>
      <c r="E22" s="83"/>
      <c r="F22" s="83"/>
      <c r="G22" s="83"/>
      <c r="H22" s="83"/>
      <c r="I22" s="83"/>
      <c r="J22" s="83"/>
      <c r="L22" s="158" t="s">
        <v>61</v>
      </c>
      <c r="M22" s="158"/>
      <c r="N22" s="69"/>
      <c r="O22" s="69"/>
      <c r="P22" s="69"/>
      <c r="Q22" s="59"/>
      <c r="R22" s="77"/>
      <c r="S22" s="77"/>
      <c r="T22" s="13"/>
    </row>
    <row r="23" spans="2:20" ht="30" customHeight="1">
      <c r="B23" s="8"/>
      <c r="C23" s="196"/>
      <c r="D23" s="196"/>
      <c r="E23" s="83"/>
      <c r="F23" s="83"/>
      <c r="G23" s="83"/>
      <c r="H23" s="83"/>
      <c r="I23" s="83"/>
      <c r="J23" s="83"/>
      <c r="L23" s="51"/>
      <c r="M23" s="51"/>
      <c r="N23" s="51"/>
      <c r="O23" s="51"/>
      <c r="P23" s="51"/>
      <c r="Q23" s="59"/>
      <c r="R23" s="59"/>
      <c r="T23" s="13"/>
    </row>
    <row r="24" spans="2:20" ht="30" customHeight="1">
      <c r="B24" s="8"/>
      <c r="C24" s="195"/>
      <c r="D24" s="196"/>
      <c r="E24" s="83"/>
      <c r="F24" s="83"/>
      <c r="G24" s="83"/>
      <c r="H24" s="83"/>
      <c r="I24" s="83"/>
      <c r="J24" s="83"/>
      <c r="K24" s="60"/>
      <c r="L24" s="61"/>
      <c r="M24" s="62"/>
      <c r="N24" s="51"/>
      <c r="O24" s="51"/>
      <c r="P24" s="160" t="s">
        <v>62</v>
      </c>
      <c r="Q24" s="161" t="str">
        <f t="shared" ref="Q24" si="0">IF(COUNTBLANK(R9:S15)=14,"",IF(COUNTIF(R9:S15,"NA")&gt;0,"NA",IF(COUNTIF(R9:S15,"PA")&gt;0,"PA","A")))</f>
        <v/>
      </c>
      <c r="R24" s="162"/>
      <c r="S24" s="163"/>
      <c r="T24" s="13"/>
    </row>
    <row r="25" spans="2:20" ht="30" customHeight="1">
      <c r="B25" s="8"/>
      <c r="C25" s="196"/>
      <c r="D25" s="196"/>
      <c r="E25" s="83"/>
      <c r="F25" s="83"/>
      <c r="G25" s="83"/>
      <c r="H25" s="83"/>
      <c r="I25" s="83"/>
      <c r="J25" s="83"/>
      <c r="K25" s="78"/>
      <c r="L25" s="51"/>
      <c r="M25" s="50"/>
      <c r="N25" s="50"/>
      <c r="O25" s="50"/>
      <c r="P25" s="160"/>
      <c r="Q25" s="164"/>
      <c r="R25" s="165"/>
      <c r="S25" s="166"/>
      <c r="T25" s="13"/>
    </row>
    <row r="26" spans="2:20" ht="28.5" customHeight="1">
      <c r="B26" s="8"/>
      <c r="C26" s="195"/>
      <c r="D26" s="196"/>
      <c r="E26" s="83"/>
      <c r="F26" s="83"/>
      <c r="G26" s="83"/>
      <c r="H26" s="83"/>
      <c r="I26" s="83"/>
      <c r="J26" s="83"/>
      <c r="K26" s="60"/>
      <c r="L26" s="51"/>
      <c r="M26" s="62"/>
      <c r="N26" s="51"/>
      <c r="O26" s="61"/>
      <c r="P26" s="160"/>
      <c r="Q26" s="164"/>
      <c r="R26" s="165"/>
      <c r="S26" s="166"/>
      <c r="T26" s="13"/>
    </row>
    <row r="27" spans="2:20" ht="30" customHeight="1">
      <c r="B27" s="8"/>
      <c r="C27" s="195"/>
      <c r="D27" s="196"/>
      <c r="E27" s="83"/>
      <c r="F27" s="83"/>
      <c r="G27" s="83"/>
      <c r="H27" s="83"/>
      <c r="I27" s="83"/>
      <c r="J27" s="83"/>
      <c r="K27" s="78"/>
      <c r="L27" s="63"/>
      <c r="M27" s="51"/>
      <c r="N27" s="51"/>
      <c r="O27" s="61"/>
      <c r="P27" s="160"/>
      <c r="Q27" s="164"/>
      <c r="R27" s="165"/>
      <c r="S27" s="166"/>
      <c r="T27" s="13"/>
    </row>
    <row r="28" spans="2:20" ht="30" customHeight="1">
      <c r="B28" s="8"/>
      <c r="C28" s="196"/>
      <c r="D28" s="196"/>
      <c r="E28" s="83"/>
      <c r="F28" s="83"/>
      <c r="G28" s="83"/>
      <c r="H28" s="83"/>
      <c r="I28" s="83"/>
      <c r="J28" s="83"/>
      <c r="K28" s="78"/>
      <c r="L28" s="63"/>
      <c r="M28" s="51"/>
      <c r="N28" s="51"/>
      <c r="O28" s="61"/>
      <c r="P28" s="160"/>
      <c r="Q28" s="167"/>
      <c r="R28" s="168"/>
      <c r="S28" s="169"/>
      <c r="T28" s="13"/>
    </row>
    <row r="29" spans="2:20" ht="9.75" hidden="1" customHeight="1" thickBot="1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2:20" ht="0.75" hidden="1" customHeight="1">
      <c r="B30" s="8"/>
      <c r="T30" s="13"/>
    </row>
    <row r="31" spans="2:20" ht="10.25" hidden="1" customHeight="1">
      <c r="B31" s="8"/>
      <c r="T31" s="13"/>
    </row>
    <row r="32" spans="2:20" ht="10.25" hidden="1" customHeight="1">
      <c r="B32" s="8"/>
      <c r="T32" s="13"/>
    </row>
    <row r="33" spans="2:20" ht="30" hidden="1" customHeight="1">
      <c r="B33" s="8"/>
      <c r="T33" s="13"/>
    </row>
    <row r="34" spans="2:20" ht="30" hidden="1" customHeight="1">
      <c r="B34" s="8"/>
      <c r="T34" s="13"/>
    </row>
    <row r="35" spans="2:20" ht="30" hidden="1" customHeight="1">
      <c r="B35" s="8"/>
      <c r="T35" s="13"/>
    </row>
    <row r="36" spans="2:20" ht="30" hidden="1" customHeight="1">
      <c r="B36" s="8"/>
      <c r="T36" s="13"/>
    </row>
    <row r="37" spans="2:20" ht="30" hidden="1" customHeight="1">
      <c r="B37" s="8"/>
      <c r="T37" s="13"/>
    </row>
    <row r="38" spans="2:20" ht="30" hidden="1" customHeight="1">
      <c r="B38" s="8"/>
      <c r="T38" s="13"/>
    </row>
    <row r="39" spans="2:20" ht="30" hidden="1" customHeight="1">
      <c r="B39" s="8"/>
      <c r="T39" s="13"/>
    </row>
    <row r="40" spans="2:20" ht="14" thickBot="1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0"/>
    <row r="42" spans="2:20"/>
    <row r="43" spans="2:20"/>
    <row r="44" spans="2:20"/>
    <row r="45" spans="2:20">
      <c r="M45" s="157"/>
      <c r="N45" s="157"/>
      <c r="O45" s="157"/>
    </row>
    <row r="46" spans="2:20">
      <c r="M46" s="157"/>
      <c r="N46" s="157"/>
      <c r="O46" s="157"/>
    </row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65">
    <mergeCell ref="M45:O46"/>
    <mergeCell ref="C23:D23"/>
    <mergeCell ref="C24:D24"/>
    <mergeCell ref="P24:P28"/>
    <mergeCell ref="Q24:S28"/>
    <mergeCell ref="C25:D25"/>
    <mergeCell ref="C26:D26"/>
    <mergeCell ref="C27:D27"/>
    <mergeCell ref="C28:D28"/>
    <mergeCell ref="C20:D20"/>
    <mergeCell ref="L20:M20"/>
    <mergeCell ref="N20:O20"/>
    <mergeCell ref="C21:D21"/>
    <mergeCell ref="C22:D22"/>
    <mergeCell ref="L22:M22"/>
    <mergeCell ref="Q18:Q20"/>
    <mergeCell ref="R14:S14"/>
    <mergeCell ref="G15:H15"/>
    <mergeCell ref="J15:K15"/>
    <mergeCell ref="M15:N15"/>
    <mergeCell ref="P15:Q15"/>
    <mergeCell ref="R15:S15"/>
    <mergeCell ref="G16:H16"/>
    <mergeCell ref="J16:K16"/>
    <mergeCell ref="M16:N16"/>
    <mergeCell ref="P16:Q16"/>
    <mergeCell ref="R16:S16"/>
    <mergeCell ref="R13:S13"/>
    <mergeCell ref="G14:H14"/>
    <mergeCell ref="J14:K14"/>
    <mergeCell ref="M14:N14"/>
    <mergeCell ref="P14:Q14"/>
    <mergeCell ref="G13:H13"/>
    <mergeCell ref="J13:K13"/>
    <mergeCell ref="M13:N13"/>
    <mergeCell ref="P13:Q13"/>
    <mergeCell ref="R11:S11"/>
    <mergeCell ref="G12:H12"/>
    <mergeCell ref="J12:K12"/>
    <mergeCell ref="M12:N12"/>
    <mergeCell ref="P12:Q12"/>
    <mergeCell ref="R12:S12"/>
    <mergeCell ref="P11:Q11"/>
    <mergeCell ref="R9:S9"/>
    <mergeCell ref="G10:H10"/>
    <mergeCell ref="J10:K10"/>
    <mergeCell ref="M10:N10"/>
    <mergeCell ref="P10:Q10"/>
    <mergeCell ref="R10:S10"/>
    <mergeCell ref="P9:Q9"/>
    <mergeCell ref="C9:C16"/>
    <mergeCell ref="D9:D12"/>
    <mergeCell ref="G9:H9"/>
    <mergeCell ref="J9:K9"/>
    <mergeCell ref="M9:N9"/>
    <mergeCell ref="G11:H11"/>
    <mergeCell ref="J11:K11"/>
    <mergeCell ref="M11:N11"/>
    <mergeCell ref="D13:D15"/>
    <mergeCell ref="Q2:S2"/>
    <mergeCell ref="F8:H8"/>
    <mergeCell ref="I8:K8"/>
    <mergeCell ref="L8:N8"/>
    <mergeCell ref="O8:Q8"/>
    <mergeCell ref="R8:S8"/>
  </mergeCells>
  <printOptions horizontalCentered="1" verticalCentered="1"/>
  <pageMargins left="0.27559055118110237" right="0.27559055118110237" top="0.19685039370078741" bottom="0.19685039370078741" header="0" footer="0"/>
  <pageSetup paperSize="9" scale="38" orientation="landscape" r:id="rId1"/>
  <headerFooter alignWithMargins="0">
    <oddFooter>&amp;L&amp;8&amp;D  _  &amp;T&amp;C&amp;8&amp;F  -  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2b4dc0-5538-4988-a426-1e3bf3687743">
      <Terms xmlns="http://schemas.microsoft.com/office/infopath/2007/PartnerControls"/>
    </lcf76f155ced4ddcb4097134ff3c332f>
    <TaxCatchAll xmlns="26488081-7094-48e3-a435-bbb366c5709a" xsi:nil="true"/>
  </documentManagement>
</p:properties>
</file>

<file path=customXml/itemProps1.xml><?xml version="1.0" encoding="utf-8"?>
<ds:datastoreItem xmlns:ds="http://schemas.openxmlformats.org/officeDocument/2006/customXml" ds:itemID="{DA9BC66A-C2DB-4D13-83D3-A9D6FE547E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D6F5F3-3FA1-44B6-BBFB-720613FAA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1E5F7B-C838-4741-AB52-88EF31B765A8}">
  <ds:schemaRefs>
    <ds:schemaRef ds:uri="http://schemas.microsoft.com/office/2006/metadata/properties"/>
    <ds:schemaRef ds:uri="http://schemas.microsoft.com/office/infopath/2007/PartnerControls"/>
    <ds:schemaRef ds:uri="eb2b4dc0-5538-4988-a426-1e3bf3687743"/>
    <ds:schemaRef ds:uri="26488081-7094-48e3-a435-bbb366c570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15</vt:i4>
      </vt:variant>
    </vt:vector>
  </HeadingPairs>
  <TitlesOfParts>
    <vt:vector size="31" baseType="lpstr">
      <vt:lpstr>MASTER</vt:lpstr>
      <vt:lpstr>Contextualisation</vt:lpstr>
      <vt:lpstr>Consolidation</vt:lpstr>
      <vt:lpstr>Aaron</vt:lpstr>
      <vt:lpstr>Camille</vt:lpstr>
      <vt:lpstr>Carl</vt:lpstr>
      <vt:lpstr>David</vt:lpstr>
      <vt:lpstr>Elias</vt:lpstr>
      <vt:lpstr>Jonathan</vt:lpstr>
      <vt:lpstr>Kilian</vt:lpstr>
      <vt:lpstr>Latif</vt:lpstr>
      <vt:lpstr>Néo</vt:lpstr>
      <vt:lpstr>Ryan</vt:lpstr>
      <vt:lpstr>Stepan</vt:lpstr>
      <vt:lpstr>ThomasP</vt:lpstr>
      <vt:lpstr>ThomasR</vt:lpstr>
      <vt:lpstr>Aaron!Zone_d_impression</vt:lpstr>
      <vt:lpstr>Camille!Zone_d_impression</vt:lpstr>
      <vt:lpstr>Carl!Zone_d_impression</vt:lpstr>
      <vt:lpstr>Contextualisation!Zone_d_impression</vt:lpstr>
      <vt:lpstr>David!Zone_d_impression</vt:lpstr>
      <vt:lpstr>Elias!Zone_d_impression</vt:lpstr>
      <vt:lpstr>Jonathan!Zone_d_impression</vt:lpstr>
      <vt:lpstr>Kilian!Zone_d_impression</vt:lpstr>
      <vt:lpstr>Latif!Zone_d_impression</vt:lpstr>
      <vt:lpstr>MASTER!Zone_d_impression</vt:lpstr>
      <vt:lpstr>Néo!Zone_d_impression</vt:lpstr>
      <vt:lpstr>Ryan!Zone_d_impression</vt:lpstr>
      <vt:lpstr>Stepan!Zone_d_impression</vt:lpstr>
      <vt:lpstr>ThomasP!Zone_d_impression</vt:lpstr>
      <vt:lpstr>ThomasR!Zone_d_impression</vt:lpstr>
    </vt:vector>
  </TitlesOfParts>
  <Manager/>
  <Company>ETML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zfpdda</dc:creator>
  <cp:keywords/>
  <dc:description/>
  <cp:lastModifiedBy>Xavier Carrel</cp:lastModifiedBy>
  <cp:revision/>
  <dcterms:created xsi:type="dcterms:W3CDTF">2009-05-15T14:53:31Z</dcterms:created>
  <dcterms:modified xsi:type="dcterms:W3CDTF">2026-01-14T10:17:30Z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